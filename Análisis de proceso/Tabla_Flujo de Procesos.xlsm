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versidad\Trabajos_Mecatronica\9_Semestre\APM\INFERA\Análisis de proceso\"/>
    </mc:Choice>
  </mc:AlternateContent>
  <xr:revisionPtr revIDLastSave="0" documentId="13_ncr:1_{C47DD4F9-71A7-47C1-913A-3C1ED7C59453}" xr6:coauthVersionLast="47" xr6:coauthVersionMax="47" xr10:uidLastSave="{00000000-0000-0000-0000-000000000000}"/>
  <bookViews>
    <workbookView xWindow="-108" yWindow="-108" windowWidth="23256" windowHeight="12456" xr2:uid="{248815DB-6665-4A6B-B951-9F5CE9CB6C63}"/>
  </bookViews>
  <sheets>
    <sheet name="Cónico-Post" sheetId="7" r:id="rId1"/>
    <sheet name="Cónico" sheetId="6" r:id="rId2"/>
    <sheet name="Helicoidal Post" sheetId="9" r:id="rId3"/>
    <sheet name="Helicoidal" sheetId="5" r:id="rId4"/>
    <sheet name="Sinfin Corona Post" sheetId="8" r:id="rId5"/>
    <sheet name="Sinfin Corona" sheetId="1" r:id="rId6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3" i="8" l="1"/>
  <c r="M33" i="8"/>
  <c r="M17" i="8"/>
  <c r="M4" i="8"/>
  <c r="N44" i="9"/>
  <c r="N17" i="9"/>
  <c r="N4" i="9"/>
  <c r="O48" i="7"/>
  <c r="O21" i="7"/>
  <c r="O12" i="7"/>
  <c r="E57" i="9"/>
  <c r="D57" i="9"/>
  <c r="C17" i="9"/>
  <c r="C4" i="9"/>
  <c r="E66" i="8"/>
  <c r="D66" i="8"/>
  <c r="E61" i="7"/>
  <c r="D61" i="7"/>
  <c r="C48" i="7"/>
  <c r="C21" i="7"/>
  <c r="C4" i="7"/>
  <c r="C48" i="6"/>
  <c r="C21" i="6"/>
  <c r="C4" i="6"/>
  <c r="E61" i="6"/>
  <c r="D61" i="6"/>
  <c r="C4" i="5"/>
  <c r="C17" i="5"/>
  <c r="E57" i="5"/>
  <c r="D57" i="5"/>
  <c r="E66" i="1"/>
  <c r="D66" i="1"/>
  <c r="F57" i="9" a="1"/>
  <c r="F66" i="8" a="1"/>
  <c r="F61" i="6" a="1"/>
  <c r="J57" i="9" a="1"/>
  <c r="I57" i="9" a="1"/>
  <c r="J61" i="7" a="1"/>
  <c r="G57" i="5" a="1"/>
  <c r="F66" i="1" a="1"/>
  <c r="H57" i="9" a="1"/>
  <c r="I61" i="7" a="1"/>
  <c r="J57" i="5" a="1"/>
  <c r="F57" i="5" a="1"/>
  <c r="G61" i="7" a="1"/>
  <c r="G61" i="6" a="1"/>
  <c r="I66" i="1" a="1"/>
  <c r="F61" i="7" a="1"/>
  <c r="I61" i="6" a="1"/>
  <c r="H57" i="5" a="1"/>
  <c r="H66" i="8" a="1"/>
  <c r="H66" i="1" a="1"/>
  <c r="G66" i="8" a="1"/>
  <c r="G66" i="1" a="1"/>
  <c r="I57" i="5" a="1"/>
  <c r="J61" i="6" a="1"/>
  <c r="G57" i="9" a="1"/>
  <c r="H61" i="7" a="1"/>
  <c r="J66" i="1" a="1"/>
  <c r="I66" i="8" a="1"/>
  <c r="J66" i="8" a="1"/>
  <c r="H61" i="6" a="1"/>
  <c r="G57" i="9" l="1"/>
  <c r="H57" i="9"/>
  <c r="I57" i="9"/>
  <c r="J57" i="9"/>
  <c r="F57" i="9"/>
  <c r="I66" i="8"/>
  <c r="F66" i="8"/>
  <c r="G66" i="8"/>
  <c r="H66" i="8"/>
  <c r="J66" i="8"/>
  <c r="H61" i="7"/>
  <c r="F61" i="7"/>
  <c r="G61" i="7"/>
  <c r="I61" i="7"/>
  <c r="J61" i="7"/>
  <c r="G61" i="6"/>
  <c r="H61" i="6"/>
  <c r="I61" i="6"/>
  <c r="F61" i="6"/>
  <c r="J61" i="6"/>
  <c r="G57" i="5"/>
  <c r="H57" i="5"/>
  <c r="I57" i="5"/>
  <c r="F57" i="5"/>
  <c r="J57" i="5"/>
  <c r="J66" i="1"/>
  <c r="I66" i="1"/>
  <c r="H66" i="1"/>
  <c r="G66" i="1"/>
  <c r="F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<sst xmlns="http://schemas.openxmlformats.org/spreadsheetml/2006/main" count="514" uniqueCount="62">
  <si>
    <t>No.</t>
  </si>
  <si>
    <t>Elemento</t>
  </si>
  <si>
    <t>Cantidad</t>
  </si>
  <si>
    <t>Distancia</t>
  </si>
  <si>
    <t>Tiempo</t>
  </si>
  <si>
    <t>Símbolo</t>
  </si>
  <si>
    <t>Anotaciones</t>
  </si>
  <si>
    <t>kg</t>
  </si>
  <si>
    <t>m</t>
  </si>
  <si>
    <t>min</t>
  </si>
  <si>
    <t>Suministro Acero</t>
  </si>
  <si>
    <t>Inspeccionar</t>
  </si>
  <si>
    <t>Mover a A</t>
  </si>
  <si>
    <t>Cortar Material</t>
  </si>
  <si>
    <t>Mover a B</t>
  </si>
  <si>
    <t>Acercar</t>
  </si>
  <si>
    <t>Mecanizar Corona</t>
  </si>
  <si>
    <t>Mover a C</t>
  </si>
  <si>
    <t>Tallar Corona</t>
  </si>
  <si>
    <t>Mover a D</t>
  </si>
  <si>
    <t>Rectificar Dientes</t>
  </si>
  <si>
    <t>Mover a E</t>
  </si>
  <si>
    <t>Mover a F</t>
  </si>
  <si>
    <t>Mover a G</t>
  </si>
  <si>
    <t>Mover a H</t>
  </si>
  <si>
    <t>Cilindrar Material</t>
  </si>
  <si>
    <t>Mover a I</t>
  </si>
  <si>
    <t>Tornear Tornillo Sinfín</t>
  </si>
  <si>
    <t>Mover a J</t>
  </si>
  <si>
    <t>Fresar Cuñero</t>
  </si>
  <si>
    <t>Mover a N</t>
  </si>
  <si>
    <t>Tratar Térmicamente</t>
  </si>
  <si>
    <t>Reducir</t>
  </si>
  <si>
    <t>Esperar</t>
  </si>
  <si>
    <t>Suministro Faltante</t>
  </si>
  <si>
    <t>Mover a K</t>
  </si>
  <si>
    <t>Modelar Carcaza</t>
  </si>
  <si>
    <t>Mover a L</t>
  </si>
  <si>
    <t>Fundir Carcaza</t>
  </si>
  <si>
    <t>Mover a M</t>
  </si>
  <si>
    <t>Mecanizar Carcaza</t>
  </si>
  <si>
    <t>0.51</t>
  </si>
  <si>
    <t>Mover a O</t>
  </si>
  <si>
    <t>Mover a P</t>
  </si>
  <si>
    <t>Mecanizar Núcleo</t>
  </si>
  <si>
    <t>Mover a Q</t>
  </si>
  <si>
    <t>Mover a R</t>
  </si>
  <si>
    <t>Mover a S</t>
  </si>
  <si>
    <t>Mecanizar Eje</t>
  </si>
  <si>
    <t>Mover a T</t>
  </si>
  <si>
    <t>Ensamblar</t>
  </si>
  <si>
    <t>Mover a Almacén</t>
  </si>
  <si>
    <t>Total</t>
  </si>
  <si>
    <t>Operación: Fabricación Reductor Sinfín Corona</t>
  </si>
  <si>
    <t>Operación: Fabricación Reductor Helicoidal</t>
  </si>
  <si>
    <t>Mecanizar Piñón</t>
  </si>
  <si>
    <t>Tallar Piñón</t>
  </si>
  <si>
    <t>Mecanizar Rueda</t>
  </si>
  <si>
    <t>Tallar Rueda</t>
  </si>
  <si>
    <t>Operación: Fabricación Reductor Cónico</t>
  </si>
  <si>
    <t>CNC Dientes Rueda</t>
  </si>
  <si>
    <t>CNC Dientes Piñón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</si>
</sst>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top" wrapText="1"/>
    </xf>
    <xf numFmtId="0" fontId="0" fillId="0" borderId="1" xfId="0" applyBorder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center" wrapText="1"/>
    </xf>
    <xf numFmtId="2" fontId="1" fillId="0" borderId="5" xfId="0" applyNumberFormat="1" applyFont="1" applyBorder="1" applyAlignment="1">
      <alignment horizontal="center" vertical="center" wrapText="1"/>
    </xf>
    <xf numFmtId="0" fontId="4" fillId="0" borderId="0" xfId="0" applyFont="1"/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9B2D4ABC-03A5-4E36-936E-294D46E0CE18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5541E8E2-05E4-4D1B-AD41-DC2E38B00422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48FD6840-D214-4D40-B966-D2622B0BC2E8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3BD652C3-024A-48BB-A08C-D4FC6E20A194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2E7A37B9-2520-447B-A26B-DB05718F8108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EE43480-0236-45C6-B4B6-52CCA868D7C0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A31A29E-240B-44D7-9284-F97E0D4EB7A1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D33C148E-A01C-488D-8E71-F1B8C4447D1B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81AB17EB-905B-423F-B7F9-C42198E71DF3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B98D5E6F-7B17-4764-A78A-5F7A5FB1133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5409196F-D0DF-4DAA-8ACF-2787929A1656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41EBC49A-2270-4FCE-BD4E-DAA40705C38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F6FC592-B649-4B53-8D31-95928A399508}"/>
            </a:ext>
          </a:extLst>
        </xdr:cNvPr>
        <xdr:cNvSpPr/>
      </xdr:nvSpPr>
      <xdr:spPr>
        <a:xfrm>
          <a:off x="4417060" y="310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13FDF9CF-0101-4D52-A8ED-7A6AAD82CDE1}"/>
            </a:ext>
          </a:extLst>
        </xdr:cNvPr>
        <xdr:cNvSpPr/>
      </xdr:nvSpPr>
      <xdr:spPr>
        <a:xfrm>
          <a:off x="4897120" y="329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6EF6AD3E-6A8B-4F2C-BE78-857DBE1BC14B}"/>
            </a:ext>
          </a:extLst>
        </xdr:cNvPr>
        <xdr:cNvSpPr/>
      </xdr:nvSpPr>
      <xdr:spPr>
        <a:xfrm>
          <a:off x="489712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31489D-473A-4D62-BFBB-6ED757D5055D}"/>
            </a:ext>
          </a:extLst>
        </xdr:cNvPr>
        <xdr:cNvSpPr/>
      </xdr:nvSpPr>
      <xdr:spPr>
        <a:xfrm>
          <a:off x="5857240" y="4069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CDD350FC-8F81-4F68-AB7B-7C5E39C4C8F5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E8DE84A6-5698-4A46-AD91-FE4E95ECBEAA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7BDF1292-62DB-40C2-B92A-DEF1A3574FEC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6F2BF74C-38D5-4269-819C-03D2DD652D82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A5F133EE-C710-4087-8A8F-FEA6B02EAA94}"/>
            </a:ext>
          </a:extLst>
        </xdr:cNvPr>
        <xdr:cNvSpPr/>
      </xdr:nvSpPr>
      <xdr:spPr>
        <a:xfrm>
          <a:off x="5854315" y="3505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EECE6F1F-8D70-4EF6-94CE-D450F2C8EADE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8E4F798-4A69-4400-89E5-680BEEB014F2}"/>
            </a:ext>
          </a:extLst>
        </xdr:cNvPr>
        <xdr:cNvSpPr/>
      </xdr:nvSpPr>
      <xdr:spPr>
        <a:xfrm>
          <a:off x="489712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DEDCB5A7-1687-41E7-97C3-A070196E976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044A411B-DD0A-4D5A-AEBC-4EB94DF953E2}"/>
            </a:ext>
          </a:extLst>
        </xdr:cNvPr>
        <xdr:cNvSpPr/>
      </xdr:nvSpPr>
      <xdr:spPr>
        <a:xfrm>
          <a:off x="4417060" y="558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C55E7D35-02C7-4CB6-8876-18CF399968D2}"/>
            </a:ext>
          </a:extLst>
        </xdr:cNvPr>
        <xdr:cNvSpPr/>
      </xdr:nvSpPr>
      <xdr:spPr>
        <a:xfrm>
          <a:off x="5366558" y="5776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B35197A-F1D3-4DFC-981F-AF7A9E3E6C77}"/>
            </a:ext>
          </a:extLst>
        </xdr:cNvPr>
        <xdr:cNvSpPr/>
      </xdr:nvSpPr>
      <xdr:spPr>
        <a:xfrm>
          <a:off x="5854315" y="6744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6DABC7D2-8654-4EAC-9B80-70664E2A65E0}"/>
            </a:ext>
          </a:extLst>
        </xdr:cNvPr>
        <xdr:cNvSpPr/>
      </xdr:nvSpPr>
      <xdr:spPr>
        <a:xfrm>
          <a:off x="489712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674A048-F590-4E82-8EAA-086FC9EBB5D7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128B5B-BF86-4209-B88F-56917A12A5D0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3316AE4-D61E-41BE-BA37-62FD7B812B1D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6B96ECB-E9FF-4AF5-A921-8EBBAF6FDBA5}"/>
            </a:ext>
          </a:extLst>
        </xdr:cNvPr>
        <xdr:cNvSpPr/>
      </xdr:nvSpPr>
      <xdr:spPr>
        <a:xfrm>
          <a:off x="441706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AC2EB1D4-489E-4B69-AE01-15A5C25E85C7}"/>
            </a:ext>
          </a:extLst>
        </xdr:cNvPr>
        <xdr:cNvSpPr/>
      </xdr:nvSpPr>
      <xdr:spPr>
        <a:xfrm>
          <a:off x="5366558" y="8062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8B850165-2456-4676-A4BB-B8A1BB8505C9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9FF756C1-9F2F-4627-ACFF-A900B3AE625C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765E0A34-AC47-4D9F-82D4-8021E41A5237}"/>
            </a:ext>
          </a:extLst>
        </xdr:cNvPr>
        <xdr:cNvSpPr/>
      </xdr:nvSpPr>
      <xdr:spPr>
        <a:xfrm>
          <a:off x="489712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D3CA33F-2EAE-420B-9CF5-6C854AEDE2AE}"/>
            </a:ext>
          </a:extLst>
        </xdr:cNvPr>
        <xdr:cNvSpPr/>
      </xdr:nvSpPr>
      <xdr:spPr>
        <a:xfrm>
          <a:off x="6334375" y="7117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DCCA9382-F731-47ED-817B-31F60415A712}"/>
            </a:ext>
          </a:extLst>
        </xdr:cNvPr>
        <xdr:cNvSpPr/>
      </xdr:nvSpPr>
      <xdr:spPr>
        <a:xfrm>
          <a:off x="6334375" y="3879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9C2BBC79-AE07-45C0-9877-12FC6CB07DDE}"/>
            </a:ext>
          </a:extLst>
        </xdr:cNvPr>
        <xdr:cNvSpPr/>
      </xdr:nvSpPr>
      <xdr:spPr>
        <a:xfrm>
          <a:off x="6334375" y="9022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A84A8B88-AC6D-4884-BFBF-C6E1C9CB61C2}"/>
            </a:ext>
          </a:extLst>
        </xdr:cNvPr>
        <xdr:cNvSpPr/>
      </xdr:nvSpPr>
      <xdr:spPr>
        <a:xfrm>
          <a:off x="489712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7A174688-1BF4-436D-901F-5F15686DC92B}"/>
            </a:ext>
          </a:extLst>
        </xdr:cNvPr>
        <xdr:cNvSpPr/>
      </xdr:nvSpPr>
      <xdr:spPr>
        <a:xfrm>
          <a:off x="441706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490E4B6F-B183-4B8A-A554-84AF138E988C}"/>
            </a:ext>
          </a:extLst>
        </xdr:cNvPr>
        <xdr:cNvSpPr/>
      </xdr:nvSpPr>
      <xdr:spPr>
        <a:xfrm>
          <a:off x="489712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DD63F2BA-EAA2-4713-A56C-D7138E065FFD}"/>
            </a:ext>
          </a:extLst>
        </xdr:cNvPr>
        <xdr:cNvSpPr/>
      </xdr:nvSpPr>
      <xdr:spPr>
        <a:xfrm>
          <a:off x="4417060" y="996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A758B1D-D7BF-4CC7-AC7A-6F043AB43A99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26356B4D-3239-4A88-B773-E81CDD1141AC}"/>
            </a:ext>
          </a:extLst>
        </xdr:cNvPr>
        <xdr:cNvSpPr/>
      </xdr:nvSpPr>
      <xdr:spPr>
        <a:xfrm>
          <a:off x="441706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3F3DFFC9-1992-46D0-A785-4422A65BFB04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C74D94C1-E9D5-4C5C-8E38-E6A098B38E22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1838114B-6411-4588-825B-679271E855F0}"/>
            </a:ext>
          </a:extLst>
        </xdr:cNvPr>
        <xdr:cNvSpPr/>
      </xdr:nvSpPr>
      <xdr:spPr>
        <a:xfrm>
          <a:off x="489712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CD060143-869D-479E-8E04-E1B3133C5793}"/>
            </a:ext>
          </a:extLst>
        </xdr:cNvPr>
        <xdr:cNvSpPr/>
      </xdr:nvSpPr>
      <xdr:spPr>
        <a:xfrm>
          <a:off x="5854315" y="864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23E88A10-1B64-4982-AA14-0AF5AC546E35}"/>
            </a:ext>
          </a:extLst>
        </xdr:cNvPr>
        <xdr:cNvSpPr/>
      </xdr:nvSpPr>
      <xdr:spPr>
        <a:xfrm>
          <a:off x="5854315" y="922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F0C767A5-7311-4D6C-A784-92B29E143D62}"/>
            </a:ext>
          </a:extLst>
        </xdr:cNvPr>
        <xdr:cNvSpPr/>
      </xdr:nvSpPr>
      <xdr:spPr>
        <a:xfrm>
          <a:off x="5854315" y="10554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3132A6A5-EDBE-47EB-9E93-5D193A8E53F2}"/>
            </a:ext>
          </a:extLst>
        </xdr:cNvPr>
        <xdr:cNvSpPr/>
      </xdr:nvSpPr>
      <xdr:spPr>
        <a:xfrm>
          <a:off x="5854315" y="11125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A8BC3E26-BC95-4FC3-8DB5-02B2BDF15D55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D9D1FDB8-4544-4862-8157-4F27E1996E2C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C8D109-B896-4F61-B21E-816F88B6E465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6862630-316A-4D99-8F45-DC11E7015754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5E688522-E3DE-44DD-8D2E-3343C7225225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969299BE-3E1D-4BCC-ADF1-FAD8AA764C87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6D59D8F8-81F9-4130-B5F6-E14880BEB746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DE456FF7-E8E9-4795-8127-16C225B4D0F8}"/>
            </a:ext>
          </a:extLst>
        </xdr:cNvPr>
        <xdr:cNvCxnSpPr>
          <a:stCxn id="13" idx="0"/>
          <a:endCxn id="119" idx="3"/>
        </xdr:cNvCxnSpPr>
      </xdr:nvCxnSpPr>
      <xdr:spPr>
        <a:xfrm flipV="1">
          <a:off x="4919663" y="2782452"/>
          <a:ext cx="941255" cy="13600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C8DE1B93-559C-47F3-8DD7-ED45319B17CC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963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BB0F5DD5-9DDE-4A78-95D4-38CD866AD67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3147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3B2E8221-2617-41B2-BBC1-DBA7CB5CE83D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3528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84669C7-08E5-4141-A18A-A26A817DFBBC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3322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8B81E5E8-B3DE-4D06-8D02-AB6DE99B5BF4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3703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27C79733-BB87-4075-943F-12B0D3E402B0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4091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3455C38E-EE3B-415D-9929-02AD27264F47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4290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129623BE-0AD4-4A3F-BDDA-3751DBF2E118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4487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CB69B101-5960-4C4F-9306-D4686E437E0E}"/>
            </a:ext>
          </a:extLst>
        </xdr:cNvPr>
        <xdr:cNvCxnSpPr>
          <a:cxnSpLocks/>
          <a:stCxn id="24" idx="0"/>
          <a:endCxn id="117" idx="7"/>
        </xdr:cNvCxnSpPr>
      </xdr:nvCxnSpPr>
      <xdr:spPr>
        <a:xfrm flipH="1" flipV="1">
          <a:off x="4455542" y="52110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52FBBC70-FFC6-4F17-9926-1534C45D0477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4671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AB40EBBE-75C9-46CA-ABF7-DBCB1B87C696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5433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3981D31F-E1A9-45D6-B285-7DCF8980ECA2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5608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B52CA9-54C3-4C34-AA2A-9768567F887E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6576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1830F71F-4FB6-4A06-BDCC-068F7CC1BC8D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6767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861DA8EC-29EB-432A-82FE-0F15CB383C4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6941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CC826FAF-A8EF-4C62-8F6F-3013947F226F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7140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E5D3C458-0F80-4370-AF5B-56D51B06E246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7345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502F818-0449-4CDE-A84B-EAB71B07AC49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7528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F175BF33-8FD1-452F-9365-C707219C5F04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771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9215DD78-DB9B-42CA-B310-0F23971F29DE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7894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4447316C-3772-4307-80C1-308CD4783529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8101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DEBF9D4-6136-42D3-AE46-96A972C9764C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8297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0F2EBE21-D511-4238-8A2B-91A162880D56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8488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803DA14D-AA3D-4821-812A-311D719FE200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8672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E2111802-88A8-4BFB-9067-E5FD080F63FF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8862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D84C72EF-B185-4815-B490-344B6B1CF551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1148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D53CD272-053D-4EC9-B369-85B209D34D5B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10926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14697124-6590-40B2-87AD-E014DDB9F2E2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10751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5F0C1AEF-EDD9-4C3C-AD72-FDA4E76DB4EE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10354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CE51AB39-A128-4C40-B4AF-B7DA6856BFDE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10599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72A41B8E-0136-4CB4-9768-6F6A5C49577F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10180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F3B0C1E8-F8B7-460C-9D88-A904CBC98443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9973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EC5EA015-D397-46F0-A6C0-834140AF3610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9799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6DD5597-0BE5-4C36-827D-806A25D61EC9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9418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F68E91CC-5632-4D1E-9FFD-6C9229E1857E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9608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492E2017-BC1D-4992-B508-049B627F2121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9067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2382F765-CC4E-40E9-AFCA-26E60B643D6A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9259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B9386E75-68AD-45AE-82B1-4D670987E170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917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840ECB3E-F235-46CE-9670-8D672407F1BD}"/>
            </a:ext>
          </a:extLst>
        </xdr:cNvPr>
        <xdr:cNvSpPr/>
      </xdr:nvSpPr>
      <xdr:spPr>
        <a:xfrm>
          <a:off x="5854315" y="598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4BD16213-5A7F-41B6-99F2-2E70910106E1}"/>
            </a:ext>
          </a:extLst>
        </xdr:cNvPr>
        <xdr:cNvSpPr/>
      </xdr:nvSpPr>
      <xdr:spPr>
        <a:xfrm>
          <a:off x="4894195" y="617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AEDB7670-B5B0-47E6-AE5B-71F8AB40231E}"/>
            </a:ext>
          </a:extLst>
        </xdr:cNvPr>
        <xdr:cNvSpPr/>
      </xdr:nvSpPr>
      <xdr:spPr>
        <a:xfrm>
          <a:off x="4894195" y="655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24E1C8FD-7CFF-4EBF-AB24-3343F3E054FF}"/>
            </a:ext>
          </a:extLst>
        </xdr:cNvPr>
        <xdr:cNvSpPr/>
      </xdr:nvSpPr>
      <xdr:spPr>
        <a:xfrm>
          <a:off x="4414135" y="636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17A77601-6C5B-4A28-A77C-BEAED73EC622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6363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179193AB-9777-44D3-9882-FB9268E7A530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6195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5B56108D-CEB4-4E65-BD76-9F9088E713F2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6020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1998EC05-A9D2-4087-9C4E-A20883352173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5815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9E3A4ECF-1125-4B14-B85F-822CE706DCC9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7783F2B6-8CF6-4F76-ABFA-A10A125A0B97}"/>
            </a:ext>
          </a:extLst>
        </xdr:cNvPr>
        <xdr:cNvCxnSpPr>
          <a:stCxn id="108" idx="7"/>
        </xdr:cNvCxnSpPr>
      </xdr:nvCxnSpPr>
      <xdr:spPr>
        <a:xfrm flipH="1" flipV="1">
          <a:off x="4462145" y="1988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D967E39D-3A68-46F7-B732-E2EB399A51F8}"/>
            </a:ext>
          </a:extLst>
        </xdr:cNvPr>
        <xdr:cNvCxnSpPr>
          <a:endCxn id="108" idx="5"/>
        </xdr:cNvCxnSpPr>
      </xdr:nvCxnSpPr>
      <xdr:spPr>
        <a:xfrm flipV="1">
          <a:off x="4455542" y="2194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A08C24A8-9531-4FF7-8ECC-26272FDAD60A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4E330953-90E9-4C5B-BA9B-E0334E97405E}"/>
            </a:ext>
          </a:extLst>
        </xdr:cNvPr>
        <xdr:cNvCxnSpPr>
          <a:stCxn id="111" idx="7"/>
        </xdr:cNvCxnSpPr>
      </xdr:nvCxnSpPr>
      <xdr:spPr>
        <a:xfrm flipV="1">
          <a:off x="4455542" y="2194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0CAD7BB9-F375-4716-8747-9679B947EB4A}"/>
            </a:ext>
          </a:extLst>
        </xdr:cNvPr>
        <xdr:cNvCxnSpPr>
          <a:stCxn id="114" idx="7"/>
        </xdr:cNvCxnSpPr>
      </xdr:nvCxnSpPr>
      <xdr:spPr>
        <a:xfrm flipH="1" flipV="1">
          <a:off x="4462145" y="2369503"/>
          <a:ext cx="95351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2A0448C-6C74-468D-BDCB-C30C3B6F37AF}"/>
            </a:ext>
          </a:extLst>
        </xdr:cNvPr>
        <xdr:cNvSpPr/>
      </xdr:nvSpPr>
      <xdr:spPr>
        <a:xfrm>
          <a:off x="537718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5" name="Elipse 114">
          <a:extLst>
            <a:ext uri="{FF2B5EF4-FFF2-40B4-BE49-F238E27FC236}">
              <a16:creationId xmlns:a16="http://schemas.microsoft.com/office/drawing/2014/main" id="{4B72B546-CACD-41BD-9C67-B9039F8893F4}"/>
            </a:ext>
          </a:extLst>
        </xdr:cNvPr>
        <xdr:cNvSpPr/>
      </xdr:nvSpPr>
      <xdr:spPr>
        <a:xfrm>
          <a:off x="4897120" y="501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1AAFD078-35B1-46F2-A6B1-9DF1DA8B4D97}"/>
            </a:ext>
          </a:extLst>
        </xdr:cNvPr>
        <xdr:cNvCxnSpPr>
          <a:endCxn id="115" idx="3"/>
        </xdr:cNvCxnSpPr>
      </xdr:nvCxnSpPr>
      <xdr:spPr>
        <a:xfrm flipV="1">
          <a:off x="4423663" y="5052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17" name="Elipse 116">
          <a:extLst>
            <a:ext uri="{FF2B5EF4-FFF2-40B4-BE49-F238E27FC236}">
              <a16:creationId xmlns:a16="http://schemas.microsoft.com/office/drawing/2014/main" id="{472F7E9C-9011-46D0-9583-22C93BBFD814}"/>
            </a:ext>
          </a:extLst>
        </xdr:cNvPr>
        <xdr:cNvSpPr/>
      </xdr:nvSpPr>
      <xdr:spPr>
        <a:xfrm>
          <a:off x="441706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204FE48-B849-4F33-AAD6-8A761BCD3BCA}"/>
            </a:ext>
          </a:extLst>
        </xdr:cNvPr>
        <xdr:cNvCxnSpPr>
          <a:stCxn id="21" idx="5"/>
          <a:endCxn id="115" idx="7"/>
        </xdr:cNvCxnSpPr>
      </xdr:nvCxnSpPr>
      <xdr:spPr>
        <a:xfrm>
          <a:off x="4455542" y="4861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D7D0CBD8-6D5C-4BD4-9071-5229A93EE4D1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B9DC2BFF-DBAE-48E0-8163-08BE2B56E814}"/>
            </a:ext>
          </a:extLst>
        </xdr:cNvPr>
        <xdr:cNvCxnSpPr>
          <a:stCxn id="119" idx="7"/>
          <a:endCxn id="114" idx="5"/>
        </xdr:cNvCxnSpPr>
      </xdr:nvCxnSpPr>
      <xdr:spPr>
        <a:xfrm flipH="1" flipV="1">
          <a:off x="5415662" y="2575942"/>
          <a:ext cx="477135" cy="1746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6D15029-3E27-421C-ACD3-E067A09754D3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9E62EEC8-60BB-46F2-AC32-4CED1E4A913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A4D094AF-B86D-4886-B8DA-9C42B5F6FAFF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15FF95DC-8FD7-4DEF-B9CB-80BB84CCBAC0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C5C35D9D-377C-4A54-BC6F-E1BE2B4E0A3A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40F5E43F-070E-485E-84AA-41169495DBC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DBFBD4F9-BBCF-4DD3-B07D-C82FABC89C5D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56533ED2-5948-4BD3-AF91-B3486DC60E53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FE61A61E-4422-4729-A5E5-2AA98919F5C0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32B0E715-424A-447B-B8FA-A1C9FB2ECB08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9BE2AE4C-0B62-4484-85D1-A2E9E52E66B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C56A68A7-A2DA-43CA-A524-228F8921E34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16</xdr:row>
      <xdr:rowOff>60960</xdr:rowOff>
    </xdr:from>
    <xdr:to>
      <xdr:col>5</xdr:col>
      <xdr:colOff>263525</xdr:colOff>
      <xdr:row>16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A4070EB6-01C4-4B0E-B9D2-7C1FE409B006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17</xdr:row>
      <xdr:rowOff>60960</xdr:rowOff>
    </xdr:from>
    <xdr:to>
      <xdr:col>6</xdr:col>
      <xdr:colOff>263525</xdr:colOff>
      <xdr:row>17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B47B405-B5E4-41FB-A6BE-81D7218CA58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19</xdr:row>
      <xdr:rowOff>60960</xdr:rowOff>
    </xdr:from>
    <xdr:to>
      <xdr:col>6</xdr:col>
      <xdr:colOff>263525</xdr:colOff>
      <xdr:row>19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3AB64319-4079-4031-9977-A078A2F0EA9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21</xdr:row>
      <xdr:rowOff>68657</xdr:rowOff>
    </xdr:from>
    <xdr:to>
      <xdr:col>8</xdr:col>
      <xdr:colOff>263525</xdr:colOff>
      <xdr:row>21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7E0EA865-1981-4911-B5DA-75913DD99F34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01F126FF-CCFF-4C58-94A8-661E67FA47B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6080665D-3754-4136-A5DC-DD161418EE57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456DEA3F-4114-4EA2-B2AB-70DCDCA12FA3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001F549B-22CA-43FB-8CD5-6E96DD798461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18</xdr:row>
      <xdr:rowOff>76970</xdr:rowOff>
    </xdr:from>
    <xdr:to>
      <xdr:col>8</xdr:col>
      <xdr:colOff>260600</xdr:colOff>
      <xdr:row>18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B10CB159-291B-4517-905A-6191BCBB950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0F4548B6-E8EC-48F6-B67A-CAD5B02C0AFD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28</xdr:row>
      <xdr:rowOff>60960</xdr:rowOff>
    </xdr:from>
    <xdr:to>
      <xdr:col>6</xdr:col>
      <xdr:colOff>263525</xdr:colOff>
      <xdr:row>28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29D0F704-6F83-4D15-A70B-B4819C609E16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EFD6E68-4F17-4D63-AFF8-38848F7FF14B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29</xdr:row>
      <xdr:rowOff>60960</xdr:rowOff>
    </xdr:from>
    <xdr:to>
      <xdr:col>5</xdr:col>
      <xdr:colOff>263525</xdr:colOff>
      <xdr:row>29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8BD34D7B-AE83-4F5A-B550-2B4B4FA33D1C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30</xdr:row>
      <xdr:rowOff>61576</xdr:rowOff>
    </xdr:from>
    <xdr:to>
      <xdr:col>7</xdr:col>
      <xdr:colOff>252903</xdr:colOff>
      <xdr:row>30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2ACD56AE-49C2-4E07-827A-C962E67E4355}"/>
            </a:ext>
          </a:extLst>
        </xdr:cNvPr>
        <xdr:cNvSpPr/>
      </xdr:nvSpPr>
      <xdr:spPr>
        <a:xfrm>
          <a:off x="5366558" y="4633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35</xdr:row>
      <xdr:rowOff>76970</xdr:rowOff>
    </xdr:from>
    <xdr:to>
      <xdr:col>8</xdr:col>
      <xdr:colOff>260600</xdr:colOff>
      <xdr:row>35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87DCD564-355C-4C11-A764-6FC9835A06B0}"/>
            </a:ext>
          </a:extLst>
        </xdr:cNvPr>
        <xdr:cNvSpPr/>
      </xdr:nvSpPr>
      <xdr:spPr>
        <a:xfrm>
          <a:off x="585431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41A298C7-4D7C-4B5E-8CD9-85D80F3FAE94}"/>
            </a:ext>
          </a:extLst>
        </xdr:cNvPr>
        <xdr:cNvSpPr/>
      </xdr:nvSpPr>
      <xdr:spPr>
        <a:xfrm>
          <a:off x="4897120" y="577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E794C7B-7068-44EB-876B-BEBD5F6F3AA1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99E50D8F-CEF7-4BA6-9C80-FDAF4B8C0E41}"/>
            </a:ext>
          </a:extLst>
        </xdr:cNvPr>
        <xdr:cNvSpPr/>
      </xdr:nvSpPr>
      <xdr:spPr>
        <a:xfrm>
          <a:off x="441706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40</xdr:row>
      <xdr:rowOff>60960</xdr:rowOff>
    </xdr:from>
    <xdr:to>
      <xdr:col>6</xdr:col>
      <xdr:colOff>263525</xdr:colOff>
      <xdr:row>40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263128ED-040B-410B-823A-B932B8A39EB1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41</xdr:row>
      <xdr:rowOff>60960</xdr:rowOff>
    </xdr:from>
    <xdr:to>
      <xdr:col>5</xdr:col>
      <xdr:colOff>263525</xdr:colOff>
      <xdr:row>41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E926B3BB-B5C4-47DC-8422-4B73230CBC2B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42</xdr:row>
      <xdr:rowOff>61576</xdr:rowOff>
    </xdr:from>
    <xdr:to>
      <xdr:col>7</xdr:col>
      <xdr:colOff>252903</xdr:colOff>
      <xdr:row>42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9062DF4-0C03-4931-8371-FF67DA491DC9}"/>
            </a:ext>
          </a:extLst>
        </xdr:cNvPr>
        <xdr:cNvSpPr/>
      </xdr:nvSpPr>
      <xdr:spPr>
        <a:xfrm>
          <a:off x="5366558" y="6919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43</xdr:row>
      <xdr:rowOff>60960</xdr:rowOff>
    </xdr:from>
    <xdr:to>
      <xdr:col>6</xdr:col>
      <xdr:colOff>263525</xdr:colOff>
      <xdr:row>43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E83651FC-68B0-4FA6-8B3E-38B0F588578D}"/>
            </a:ext>
          </a:extLst>
        </xdr:cNvPr>
        <xdr:cNvSpPr/>
      </xdr:nvSpPr>
      <xdr:spPr>
        <a:xfrm>
          <a:off x="489712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44</xdr:row>
      <xdr:rowOff>60960</xdr:rowOff>
    </xdr:from>
    <xdr:to>
      <xdr:col>5</xdr:col>
      <xdr:colOff>263525</xdr:colOff>
      <xdr:row>44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246DCBDC-080B-40D9-BBDB-9D2C11A0214E}"/>
            </a:ext>
          </a:extLst>
        </xdr:cNvPr>
        <xdr:cNvSpPr/>
      </xdr:nvSpPr>
      <xdr:spPr>
        <a:xfrm>
          <a:off x="441706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139D82-A2F8-43F7-B260-05BFD2A59845}"/>
            </a:ext>
          </a:extLst>
        </xdr:cNvPr>
        <xdr:cNvSpPr/>
      </xdr:nvSpPr>
      <xdr:spPr>
        <a:xfrm>
          <a:off x="489712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37</xdr:row>
      <xdr:rowOff>69273</xdr:rowOff>
    </xdr:from>
    <xdr:to>
      <xdr:col>9</xdr:col>
      <xdr:colOff>260600</xdr:colOff>
      <xdr:row>37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2C991AE-D85F-449A-BB2C-293D4C1775D2}"/>
            </a:ext>
          </a:extLst>
        </xdr:cNvPr>
        <xdr:cNvSpPr/>
      </xdr:nvSpPr>
      <xdr:spPr>
        <a:xfrm>
          <a:off x="6334375" y="5974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20</xdr:row>
      <xdr:rowOff>69273</xdr:rowOff>
    </xdr:from>
    <xdr:to>
      <xdr:col>9</xdr:col>
      <xdr:colOff>260600</xdr:colOff>
      <xdr:row>20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FFE31DDB-AA7A-4C8F-9772-360170136032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47</xdr:row>
      <xdr:rowOff>69273</xdr:rowOff>
    </xdr:from>
    <xdr:to>
      <xdr:col>9</xdr:col>
      <xdr:colOff>260600</xdr:colOff>
      <xdr:row>47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F6A13593-85BB-4EDB-A03E-C463B085D720}"/>
            </a:ext>
          </a:extLst>
        </xdr:cNvPr>
        <xdr:cNvSpPr/>
      </xdr:nvSpPr>
      <xdr:spPr>
        <a:xfrm>
          <a:off x="6334375" y="7879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BBF9D7CC-0A77-4B37-A88C-9FBFD40C1888}"/>
            </a:ext>
          </a:extLst>
        </xdr:cNvPr>
        <xdr:cNvSpPr/>
      </xdr:nvSpPr>
      <xdr:spPr>
        <a:xfrm>
          <a:off x="4897120" y="825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9062F59-A95C-469A-988D-94530221A9E4}"/>
            </a:ext>
          </a:extLst>
        </xdr:cNvPr>
        <xdr:cNvSpPr/>
      </xdr:nvSpPr>
      <xdr:spPr>
        <a:xfrm>
          <a:off x="441706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AA0A6190-C8A7-409E-9A17-816A4A6C7291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52</xdr:row>
      <xdr:rowOff>60960</xdr:rowOff>
    </xdr:from>
    <xdr:to>
      <xdr:col>5</xdr:col>
      <xdr:colOff>263525</xdr:colOff>
      <xdr:row>52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CDE26CF1-DE1C-4912-9DCB-E23C468EF2FE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53</xdr:row>
      <xdr:rowOff>60960</xdr:rowOff>
    </xdr:from>
    <xdr:to>
      <xdr:col>6</xdr:col>
      <xdr:colOff>263525</xdr:colOff>
      <xdr:row>53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B23D5D80-91AF-49C9-854F-B471E667CE14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54</xdr:row>
      <xdr:rowOff>60960</xdr:rowOff>
    </xdr:from>
    <xdr:to>
      <xdr:col>5</xdr:col>
      <xdr:colOff>263525</xdr:colOff>
      <xdr:row>54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BB2D4EE-E984-4BCB-A711-499F0BECFD1C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E90086E-854F-422B-9F3B-69ADC9764260}"/>
            </a:ext>
          </a:extLst>
        </xdr:cNvPr>
        <xdr:cNvSpPr/>
      </xdr:nvSpPr>
      <xdr:spPr>
        <a:xfrm>
          <a:off x="489712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29BA6897-65F3-4295-9A7E-22984708F822}"/>
            </a:ext>
          </a:extLst>
        </xdr:cNvPr>
        <xdr:cNvSpPr/>
      </xdr:nvSpPr>
      <xdr:spPr>
        <a:xfrm>
          <a:off x="441706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59</xdr:row>
      <xdr:rowOff>60960</xdr:rowOff>
    </xdr:from>
    <xdr:to>
      <xdr:col>6</xdr:col>
      <xdr:colOff>263525</xdr:colOff>
      <xdr:row>59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BC09BF24-D6DE-4EDE-AA37-C99D349E6EC4}"/>
            </a:ext>
          </a:extLst>
        </xdr:cNvPr>
        <xdr:cNvSpPr/>
      </xdr:nvSpPr>
      <xdr:spPr>
        <a:xfrm>
          <a:off x="489712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45</xdr:row>
      <xdr:rowOff>76970</xdr:rowOff>
    </xdr:from>
    <xdr:to>
      <xdr:col>8</xdr:col>
      <xdr:colOff>260600</xdr:colOff>
      <xdr:row>45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0823CF70-05E3-4246-A1B1-627B195E26CE}"/>
            </a:ext>
          </a:extLst>
        </xdr:cNvPr>
        <xdr:cNvSpPr/>
      </xdr:nvSpPr>
      <xdr:spPr>
        <a:xfrm>
          <a:off x="5854315" y="7506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48</xdr:row>
      <xdr:rowOff>76970</xdr:rowOff>
    </xdr:from>
    <xdr:to>
      <xdr:col>8</xdr:col>
      <xdr:colOff>260600</xdr:colOff>
      <xdr:row>48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6BEA5DDC-04BD-4C46-98F5-E9B2EEBA244D}"/>
            </a:ext>
          </a:extLst>
        </xdr:cNvPr>
        <xdr:cNvSpPr/>
      </xdr:nvSpPr>
      <xdr:spPr>
        <a:xfrm>
          <a:off x="5854315" y="8077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55</xdr:row>
      <xdr:rowOff>76970</xdr:rowOff>
    </xdr:from>
    <xdr:to>
      <xdr:col>8</xdr:col>
      <xdr:colOff>260600</xdr:colOff>
      <xdr:row>55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4647724A-5F0D-4C78-9B8F-1C497176E6B1}"/>
            </a:ext>
          </a:extLst>
        </xdr:cNvPr>
        <xdr:cNvSpPr/>
      </xdr:nvSpPr>
      <xdr:spPr>
        <a:xfrm>
          <a:off x="5854315" y="941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58</xdr:row>
      <xdr:rowOff>76970</xdr:rowOff>
    </xdr:from>
    <xdr:to>
      <xdr:col>8</xdr:col>
      <xdr:colOff>260600</xdr:colOff>
      <xdr:row>58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AE70D07C-9DD4-4C9E-9FFE-7A71A8F31EEF}"/>
            </a:ext>
          </a:extLst>
        </xdr:cNvPr>
        <xdr:cNvSpPr/>
      </xdr:nvSpPr>
      <xdr:spPr>
        <a:xfrm>
          <a:off x="5854315" y="9982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7750117F-11CE-4E7E-AE7F-8BAACFEAB60E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ABC3E6F7-17D3-4EED-A1FD-A69736D0C715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4732F12-ADE6-4835-AA87-6B409B47C14B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48CFC624-C790-4DE2-A456-D42FEB8830AD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A37217D6-CE16-4A61-A2C5-CE0468BFA8C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D5411FF1-68F0-4A87-9F7F-127DF6C608F0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A081F067-8C9A-4BAF-9DD4-CA20C57BBBA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14</xdr:row>
      <xdr:rowOff>115452</xdr:rowOff>
    </xdr:from>
    <xdr:to>
      <xdr:col>8</xdr:col>
      <xdr:colOff>222118</xdr:colOff>
      <xdr:row>15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2FE4C6-8784-4893-889F-108794445B52}"/>
            </a:ext>
          </a:extLst>
        </xdr:cNvPr>
        <xdr:cNvCxnSpPr>
          <a:stCxn id="13" idx="0"/>
          <a:endCxn id="116" idx="3"/>
        </xdr:cNvCxnSpPr>
      </xdr:nvCxnSpPr>
      <xdr:spPr>
        <a:xfrm flipV="1">
          <a:off x="4910448" y="2844475"/>
          <a:ext cx="938065" cy="14043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15</xdr:row>
      <xdr:rowOff>106045</xdr:rowOff>
    </xdr:from>
    <xdr:to>
      <xdr:col>6</xdr:col>
      <xdr:colOff>240983</xdr:colOff>
      <xdr:row>16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5208455A-2980-4B43-8441-EECACFC481BA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16</xdr:row>
      <xdr:rowOff>99442</xdr:rowOff>
    </xdr:from>
    <xdr:to>
      <xdr:col>6</xdr:col>
      <xdr:colOff>225043</xdr:colOff>
      <xdr:row>17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C2863990-7B1C-4A81-B278-7388461D973C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18</xdr:row>
      <xdr:rowOff>99513</xdr:rowOff>
    </xdr:from>
    <xdr:to>
      <xdr:col>8</xdr:col>
      <xdr:colOff>260600</xdr:colOff>
      <xdr:row>19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1B6A4EED-FE22-4295-94C7-AE476A0D42B6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17</xdr:row>
      <xdr:rowOff>83503</xdr:rowOff>
    </xdr:from>
    <xdr:to>
      <xdr:col>8</xdr:col>
      <xdr:colOff>253997</xdr:colOff>
      <xdr:row>18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F78F66BA-9864-4287-9EEC-1A727F420502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19</xdr:row>
      <xdr:rowOff>83503</xdr:rowOff>
    </xdr:from>
    <xdr:to>
      <xdr:col>9</xdr:col>
      <xdr:colOff>253997</xdr:colOff>
      <xdr:row>20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F9B98155-F9FA-411F-BF29-772AA17D4D17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21</xdr:row>
      <xdr:rowOff>91200</xdr:rowOff>
    </xdr:from>
    <xdr:to>
      <xdr:col>8</xdr:col>
      <xdr:colOff>218440</xdr:colOff>
      <xdr:row>22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4B847E86-4728-46F3-B52C-8FC32F23972F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22</xdr:row>
      <xdr:rowOff>99442</xdr:rowOff>
    </xdr:from>
    <xdr:to>
      <xdr:col>6</xdr:col>
      <xdr:colOff>225043</xdr:colOff>
      <xdr:row>23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17AF233F-97A1-4E83-A393-AD87103E4C94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23</xdr:row>
      <xdr:rowOff>106045</xdr:rowOff>
    </xdr:from>
    <xdr:to>
      <xdr:col>6</xdr:col>
      <xdr:colOff>225043</xdr:colOff>
      <xdr:row>24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2BC49854-8655-41F6-8460-4F398E95CBC6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27</xdr:row>
      <xdr:rowOff>67563</xdr:rowOff>
    </xdr:from>
    <xdr:to>
      <xdr:col>6</xdr:col>
      <xdr:colOff>240983</xdr:colOff>
      <xdr:row>28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4DF36C7D-44AD-486E-9DFD-0B19E6282006}"/>
            </a:ext>
          </a:extLst>
        </xdr:cNvPr>
        <xdr:cNvCxnSpPr>
          <a:cxnSpLocks/>
          <a:stCxn id="24" idx="0"/>
          <a:endCxn id="121" idx="7"/>
        </xdr:cNvCxnSpPr>
      </xdr:nvCxnSpPr>
      <xdr:spPr>
        <a:xfrm flipH="1" flipV="1">
          <a:off x="4464855" y="5130630"/>
          <a:ext cx="466661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99442</xdr:rowOff>
    </xdr:from>
    <xdr:to>
      <xdr:col>6</xdr:col>
      <xdr:colOff>256922</xdr:colOff>
      <xdr:row>25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B80B4E6-EBC8-4F4D-8A58-92EB58E4FEBC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28</xdr:row>
      <xdr:rowOff>99442</xdr:rowOff>
    </xdr:from>
    <xdr:to>
      <xdr:col>6</xdr:col>
      <xdr:colOff>225043</xdr:colOff>
      <xdr:row>29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66C46531-9640-467F-9931-CA41B6293461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29</xdr:row>
      <xdr:rowOff>83503</xdr:rowOff>
    </xdr:from>
    <xdr:to>
      <xdr:col>7</xdr:col>
      <xdr:colOff>252903</xdr:colOff>
      <xdr:row>30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FF60E175-77CB-4571-A98A-3CFE10399FAB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465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34</xdr:row>
      <xdr:rowOff>99513</xdr:rowOff>
    </xdr:from>
    <xdr:to>
      <xdr:col>8</xdr:col>
      <xdr:colOff>260600</xdr:colOff>
      <xdr:row>35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4A95AB7-4A85-4C33-A763-B439B91ECFE9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433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35</xdr:row>
      <xdr:rowOff>99513</xdr:rowOff>
    </xdr:from>
    <xdr:to>
      <xdr:col>8</xdr:col>
      <xdr:colOff>260600</xdr:colOff>
      <xdr:row>36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A4129C5F-F37B-4284-9618-D3403421A48A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5624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36</xdr:row>
      <xdr:rowOff>83503</xdr:rowOff>
    </xdr:from>
    <xdr:to>
      <xdr:col>9</xdr:col>
      <xdr:colOff>253997</xdr:colOff>
      <xdr:row>37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7B987EC0-B2BF-429D-B3D8-200F21316EE0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5798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91816</xdr:rowOff>
    </xdr:from>
    <xdr:to>
      <xdr:col>9</xdr:col>
      <xdr:colOff>260600</xdr:colOff>
      <xdr:row>38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719B62B-8FE9-480D-A254-B9842EE31C72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5997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38</xdr:row>
      <xdr:rowOff>106045</xdr:rowOff>
    </xdr:from>
    <xdr:to>
      <xdr:col>6</xdr:col>
      <xdr:colOff>240983</xdr:colOff>
      <xdr:row>39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76BE005A-022A-4867-8799-91ED4249EF7A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202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39</xdr:row>
      <xdr:rowOff>99442</xdr:rowOff>
    </xdr:from>
    <xdr:to>
      <xdr:col>6</xdr:col>
      <xdr:colOff>263525</xdr:colOff>
      <xdr:row>40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EE5A106D-D47C-48F5-80F4-84967327F035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385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40</xdr:row>
      <xdr:rowOff>99442</xdr:rowOff>
    </xdr:from>
    <xdr:to>
      <xdr:col>6</xdr:col>
      <xdr:colOff>225043</xdr:colOff>
      <xdr:row>41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6F16B86B-B147-424B-8E36-F13ADF1A64A1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576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41</xdr:row>
      <xdr:rowOff>83503</xdr:rowOff>
    </xdr:from>
    <xdr:to>
      <xdr:col>7</xdr:col>
      <xdr:colOff>252903</xdr:colOff>
      <xdr:row>42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70B23AC-5C12-4311-B0CA-B43226C5B15F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6751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100058</xdr:rowOff>
    </xdr:from>
    <xdr:to>
      <xdr:col>7</xdr:col>
      <xdr:colOff>246300</xdr:colOff>
      <xdr:row>43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E5B59A2F-631D-483E-AAFD-ADEFF54D2E9B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6958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43</xdr:row>
      <xdr:rowOff>106045</xdr:rowOff>
    </xdr:from>
    <xdr:to>
      <xdr:col>6</xdr:col>
      <xdr:colOff>240983</xdr:colOff>
      <xdr:row>44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3ECE25C4-1F21-4D16-BDD3-F80A0F4A9740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154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44</xdr:row>
      <xdr:rowOff>106045</xdr:rowOff>
    </xdr:from>
    <xdr:to>
      <xdr:col>8</xdr:col>
      <xdr:colOff>260600</xdr:colOff>
      <xdr:row>45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3B17FB67-9543-4670-BCF5-F7E314884BA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345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45</xdr:row>
      <xdr:rowOff>99513</xdr:rowOff>
    </xdr:from>
    <xdr:to>
      <xdr:col>8</xdr:col>
      <xdr:colOff>260600</xdr:colOff>
      <xdr:row>46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11EAAE87-A67A-427F-9F96-FEE7B9BD47C3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529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46</xdr:row>
      <xdr:rowOff>99442</xdr:rowOff>
    </xdr:from>
    <xdr:to>
      <xdr:col>9</xdr:col>
      <xdr:colOff>222118</xdr:colOff>
      <xdr:row>47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AC7D5FEC-3561-4B4C-9672-F7E4F36B991C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7719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58</xdr:row>
      <xdr:rowOff>99513</xdr:rowOff>
    </xdr:from>
    <xdr:to>
      <xdr:col>8</xdr:col>
      <xdr:colOff>260600</xdr:colOff>
      <xdr:row>59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E484E81C-8783-4707-AC8B-7BF668C4E4CF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005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57</xdr:row>
      <xdr:rowOff>67563</xdr:rowOff>
    </xdr:from>
    <xdr:to>
      <xdr:col>8</xdr:col>
      <xdr:colOff>260600</xdr:colOff>
      <xdr:row>58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47CFFDDD-AC31-455C-B8DF-0141A78917A3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9783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56</xdr:row>
      <xdr:rowOff>83503</xdr:rowOff>
    </xdr:from>
    <xdr:to>
      <xdr:col>6</xdr:col>
      <xdr:colOff>218440</xdr:colOff>
      <xdr:row>57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8A0E9833-8B15-4C11-89DC-316A94047388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608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54</xdr:row>
      <xdr:rowOff>67563</xdr:rowOff>
    </xdr:from>
    <xdr:to>
      <xdr:col>8</xdr:col>
      <xdr:colOff>253997</xdr:colOff>
      <xdr:row>55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70ACEDB9-AC5A-4BF7-8788-CB81533275D4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211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55</xdr:row>
      <xdr:rowOff>122055</xdr:rowOff>
    </xdr:from>
    <xdr:to>
      <xdr:col>8</xdr:col>
      <xdr:colOff>238058</xdr:colOff>
      <xdr:row>56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9EF30FA5-B404-4D54-A9BD-2B2967019A13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456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53</xdr:row>
      <xdr:rowOff>83503</xdr:rowOff>
    </xdr:from>
    <xdr:to>
      <xdr:col>6</xdr:col>
      <xdr:colOff>218440</xdr:colOff>
      <xdr:row>54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29C28E6A-8168-4949-BF33-7C9780FC2D07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037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52</xdr:row>
      <xdr:rowOff>67563</xdr:rowOff>
    </xdr:from>
    <xdr:to>
      <xdr:col>6</xdr:col>
      <xdr:colOff>263525</xdr:colOff>
      <xdr:row>53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0EAB5113-036A-4FF5-BE2A-2EA4FEA97451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8830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51</xdr:row>
      <xdr:rowOff>83503</xdr:rowOff>
    </xdr:from>
    <xdr:to>
      <xdr:col>6</xdr:col>
      <xdr:colOff>263525</xdr:colOff>
      <xdr:row>52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7D2C5218-4B92-4E58-AADD-ADC0BEFE23A4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865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83503</xdr:rowOff>
    </xdr:from>
    <xdr:to>
      <xdr:col>6</xdr:col>
      <xdr:colOff>263525</xdr:colOff>
      <xdr:row>50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E8E3ACCB-E2B2-4984-A4EB-BCB8A276F6D8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275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50</xdr:row>
      <xdr:rowOff>83503</xdr:rowOff>
    </xdr:from>
    <xdr:to>
      <xdr:col>6</xdr:col>
      <xdr:colOff>263525</xdr:colOff>
      <xdr:row>51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A20500DB-6D44-4647-A0AB-DF4E15A30529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465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47</xdr:row>
      <xdr:rowOff>114358</xdr:rowOff>
    </xdr:from>
    <xdr:to>
      <xdr:col>9</xdr:col>
      <xdr:colOff>238058</xdr:colOff>
      <xdr:row>48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18F9896B-7619-4717-9762-916CE0A51324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7924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48</xdr:row>
      <xdr:rowOff>115452</xdr:rowOff>
    </xdr:from>
    <xdr:to>
      <xdr:col>8</xdr:col>
      <xdr:colOff>222118</xdr:colOff>
      <xdr:row>49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43322545-F0F7-46B4-BB78-FE3C34168210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116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20</xdr:row>
      <xdr:rowOff>107755</xdr:rowOff>
    </xdr:from>
    <xdr:to>
      <xdr:col>9</xdr:col>
      <xdr:colOff>222118</xdr:colOff>
      <xdr:row>21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778ED063-AEF4-4586-B611-968746BCD23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B7617506-0680-4B93-A1B7-80EB547F12E0}"/>
            </a:ext>
          </a:extLst>
        </xdr:cNvPr>
        <xdr:cNvSpPr/>
      </xdr:nvSpPr>
      <xdr:spPr>
        <a:xfrm>
          <a:off x="5854315" y="4839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32</xdr:row>
      <xdr:rowOff>76970</xdr:rowOff>
    </xdr:from>
    <xdr:to>
      <xdr:col>6</xdr:col>
      <xdr:colOff>260600</xdr:colOff>
      <xdr:row>32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F7365F7C-04AB-493D-8943-36582C3316CB}"/>
            </a:ext>
          </a:extLst>
        </xdr:cNvPr>
        <xdr:cNvSpPr/>
      </xdr:nvSpPr>
      <xdr:spPr>
        <a:xfrm>
          <a:off x="489419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34</xdr:row>
      <xdr:rowOff>76970</xdr:rowOff>
    </xdr:from>
    <xdr:to>
      <xdr:col>6</xdr:col>
      <xdr:colOff>260600</xdr:colOff>
      <xdr:row>34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93F5A2BA-2CDB-4031-9C6C-41F2B3A2ABA4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33</xdr:row>
      <xdr:rowOff>76970</xdr:rowOff>
    </xdr:from>
    <xdr:to>
      <xdr:col>5</xdr:col>
      <xdr:colOff>260600</xdr:colOff>
      <xdr:row>33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8166F3D-B449-4C5B-80D0-F7BF7125238F}"/>
            </a:ext>
          </a:extLst>
        </xdr:cNvPr>
        <xdr:cNvSpPr/>
      </xdr:nvSpPr>
      <xdr:spPr>
        <a:xfrm>
          <a:off x="441413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33</xdr:row>
      <xdr:rowOff>76970</xdr:rowOff>
    </xdr:from>
    <xdr:to>
      <xdr:col>6</xdr:col>
      <xdr:colOff>222118</xdr:colOff>
      <xdr:row>34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57575200-5098-4A2A-B630-1C352E6127E5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220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32</xdr:row>
      <xdr:rowOff>99513</xdr:rowOff>
    </xdr:from>
    <xdr:to>
      <xdr:col>6</xdr:col>
      <xdr:colOff>260600</xdr:colOff>
      <xdr:row>33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C135E47-BBAC-4128-BCCC-BBD16BDEDE0F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052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31</xdr:row>
      <xdr:rowOff>115452</xdr:rowOff>
    </xdr:from>
    <xdr:to>
      <xdr:col>8</xdr:col>
      <xdr:colOff>253997</xdr:colOff>
      <xdr:row>32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853E9CE1-ED85-4FAE-A883-68CF7C9CEAA9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4877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30</xdr:row>
      <xdr:rowOff>100058</xdr:rowOff>
    </xdr:from>
    <xdr:to>
      <xdr:col>8</xdr:col>
      <xdr:colOff>253997</xdr:colOff>
      <xdr:row>31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41AFBB48-CF57-49B0-81CD-C85A0665B15F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4672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FDCEDD6E-D2E9-428A-BA06-EAAD99D01BD1}"/>
            </a:ext>
          </a:extLst>
        </xdr:cNvPr>
        <xdr:cNvSpPr/>
      </xdr:nvSpPr>
      <xdr:spPr>
        <a:xfrm>
          <a:off x="4908973" y="1813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263525</xdr:colOff>
      <xdr:row>10</xdr:row>
      <xdr:rowOff>83503</xdr:rowOff>
    </xdr:from>
    <xdr:to>
      <xdr:col>6</xdr:col>
      <xdr:colOff>256922</xdr:colOff>
      <xdr:row>11</xdr:row>
      <xdr:rowOff>67563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9F37E70C-29C0-4177-89FD-E0DC7AFF699F}"/>
            </a:ext>
          </a:extLst>
        </xdr:cNvPr>
        <xdr:cNvCxnSpPr>
          <a:stCxn id="108" idx="7"/>
        </xdr:cNvCxnSpPr>
      </xdr:nvCxnSpPr>
      <xdr:spPr>
        <a:xfrm flipH="1" flipV="1">
          <a:off x="4471458" y="1641370"/>
          <a:ext cx="4759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88A3F5DB-A5EA-480F-A0AE-3CEA04C75454}"/>
            </a:ext>
          </a:extLst>
        </xdr:cNvPr>
        <xdr:cNvCxnSpPr>
          <a:endCxn id="108" idx="5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11" name="Elipse 110">
          <a:extLst>
            <a:ext uri="{FF2B5EF4-FFF2-40B4-BE49-F238E27FC236}">
              <a16:creationId xmlns:a16="http://schemas.microsoft.com/office/drawing/2014/main" id="{9DD5CDF2-1155-4132-9542-4C61A5703E9E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11</xdr:row>
      <xdr:rowOff>99442</xdr:rowOff>
    </xdr:from>
    <xdr:to>
      <xdr:col>6</xdr:col>
      <xdr:colOff>256922</xdr:colOff>
      <xdr:row>12</xdr:row>
      <xdr:rowOff>67563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A7152319-FCA6-4385-ACA6-2B1E96924AF8}"/>
            </a:ext>
          </a:extLst>
        </xdr:cNvPr>
        <xdr:cNvCxnSpPr>
          <a:stCxn id="111" idx="7"/>
        </xdr:cNvCxnSpPr>
      </xdr:nvCxnSpPr>
      <xdr:spPr>
        <a:xfrm flipV="1">
          <a:off x="4464855" y="1852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12</xdr:row>
      <xdr:rowOff>83503</xdr:rowOff>
    </xdr:from>
    <xdr:to>
      <xdr:col>7</xdr:col>
      <xdr:colOff>256922</xdr:colOff>
      <xdr:row>13</xdr:row>
      <xdr:rowOff>67563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AA211F76-F51B-4A54-8E29-359023A49662}"/>
            </a:ext>
          </a:extLst>
        </xdr:cNvPr>
        <xdr:cNvCxnSpPr>
          <a:stCxn id="114" idx="7"/>
        </xdr:cNvCxnSpPr>
      </xdr:nvCxnSpPr>
      <xdr:spPr>
        <a:xfrm flipH="1" flipV="1">
          <a:off x="4471458" y="2420303"/>
          <a:ext cx="958597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218440</xdr:colOff>
      <xdr:row>13</xdr:row>
      <xdr:rowOff>60960</xdr:rowOff>
    </xdr:from>
    <xdr:to>
      <xdr:col>7</xdr:col>
      <xdr:colOff>263525</xdr:colOff>
      <xdr:row>13</xdr:row>
      <xdr:rowOff>106045</xdr:rowOff>
    </xdr:to>
    <xdr:sp macro="" textlink="">
      <xdr:nvSpPr>
        <xdr:cNvPr id="114" name="Elipse 113">
          <a:extLst>
            <a:ext uri="{FF2B5EF4-FFF2-40B4-BE49-F238E27FC236}">
              <a16:creationId xmlns:a16="http://schemas.microsoft.com/office/drawing/2014/main" id="{07AC9038-B3FE-4F05-9776-BCDFA9945B11}"/>
            </a:ext>
          </a:extLst>
        </xdr:cNvPr>
        <xdr:cNvSpPr/>
      </xdr:nvSpPr>
      <xdr:spPr>
        <a:xfrm>
          <a:off x="4426373" y="200829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26</xdr:row>
      <xdr:rowOff>60960</xdr:rowOff>
    </xdr:from>
    <xdr:to>
      <xdr:col>6</xdr:col>
      <xdr:colOff>263525</xdr:colOff>
      <xdr:row>26</xdr:row>
      <xdr:rowOff>106045</xdr:rowOff>
    </xdr:to>
    <xdr:sp macro="" textlink="">
      <xdr:nvSpPr>
        <xdr:cNvPr id="119" name="Elipse 118">
          <a:extLst>
            <a:ext uri="{FF2B5EF4-FFF2-40B4-BE49-F238E27FC236}">
              <a16:creationId xmlns:a16="http://schemas.microsoft.com/office/drawing/2014/main" id="{6D8B2254-382D-44E3-AF77-842938429C12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26</xdr:row>
      <xdr:rowOff>99442</xdr:rowOff>
    </xdr:from>
    <xdr:to>
      <xdr:col>6</xdr:col>
      <xdr:colOff>225043</xdr:colOff>
      <xdr:row>27</xdr:row>
      <xdr:rowOff>99442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3DB4CB3B-0EF1-471A-8299-DE7545F9B9E7}"/>
            </a:ext>
          </a:extLst>
        </xdr:cNvPr>
        <xdr:cNvCxnSpPr>
          <a:endCxn id="119" idx="3"/>
        </xdr:cNvCxnSpPr>
      </xdr:nvCxnSpPr>
      <xdr:spPr>
        <a:xfrm flipV="1">
          <a:off x="4432976" y="53572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27</xdr:row>
      <xdr:rowOff>60960</xdr:rowOff>
    </xdr:from>
    <xdr:to>
      <xdr:col>5</xdr:col>
      <xdr:colOff>263525</xdr:colOff>
      <xdr:row>27</xdr:row>
      <xdr:rowOff>106045</xdr:rowOff>
    </xdr:to>
    <xdr:sp macro="" textlink="">
      <xdr:nvSpPr>
        <xdr:cNvPr id="121" name="Elipse 120">
          <a:extLst>
            <a:ext uri="{FF2B5EF4-FFF2-40B4-BE49-F238E27FC236}">
              <a16:creationId xmlns:a16="http://schemas.microsoft.com/office/drawing/2014/main" id="{72419F25-8B45-4BB5-8E23-900A7E68A2F8}"/>
            </a:ext>
          </a:extLst>
        </xdr:cNvPr>
        <xdr:cNvSpPr/>
      </xdr:nvSpPr>
      <xdr:spPr>
        <a:xfrm>
          <a:off x="4908973" y="5318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256922</xdr:colOff>
      <xdr:row>25</xdr:row>
      <xdr:rowOff>99442</xdr:rowOff>
    </xdr:from>
    <xdr:to>
      <xdr:col>6</xdr:col>
      <xdr:colOff>256922</xdr:colOff>
      <xdr:row>26</xdr:row>
      <xdr:rowOff>67563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56EF82B2-4DB4-4484-A5C3-06A07069B25C}"/>
            </a:ext>
          </a:extLst>
        </xdr:cNvPr>
        <xdr:cNvCxnSpPr>
          <a:stCxn id="21" idx="5"/>
          <a:endCxn id="119" idx="7"/>
        </xdr:cNvCxnSpPr>
      </xdr:nvCxnSpPr>
      <xdr:spPr>
        <a:xfrm>
          <a:off x="4464855" y="4773042"/>
          <a:ext cx="482600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16" name="Elipse 115">
          <a:extLst>
            <a:ext uri="{FF2B5EF4-FFF2-40B4-BE49-F238E27FC236}">
              <a16:creationId xmlns:a16="http://schemas.microsoft.com/office/drawing/2014/main" id="{399FA51C-F1DB-43CE-8483-0991F008EB27}"/>
            </a:ext>
          </a:extLst>
        </xdr:cNvPr>
        <xdr:cNvSpPr/>
      </xdr:nvSpPr>
      <xdr:spPr>
        <a:xfrm>
          <a:off x="5841910" y="358571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256922</xdr:colOff>
      <xdr:row>13</xdr:row>
      <xdr:rowOff>99442</xdr:rowOff>
    </xdr:from>
    <xdr:to>
      <xdr:col>8</xdr:col>
      <xdr:colOff>253997</xdr:colOff>
      <xdr:row>14</xdr:row>
      <xdr:rowOff>83573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07D6C0ED-4A76-ADD8-C414-7C8E9725F26B}"/>
            </a:ext>
          </a:extLst>
        </xdr:cNvPr>
        <xdr:cNvCxnSpPr>
          <a:stCxn id="116" idx="7"/>
          <a:endCxn id="114" idx="5"/>
        </xdr:cNvCxnSpPr>
      </xdr:nvCxnSpPr>
      <xdr:spPr>
        <a:xfrm flipH="1" flipV="1">
          <a:off x="5404852" y="2633535"/>
          <a:ext cx="475540" cy="1790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714F2D38-9802-480A-BE0F-A09D212D26EE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CC45566F-56AE-4D46-91B3-7B86735702DB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6332E673-0F3C-43EB-999E-A405A5AF372B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5DC068DC-2D82-497A-A0FF-320845A6434F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0C72C7E4-07CA-42A6-BBFC-A72F1B5DA58C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7EADAB6-6C72-407E-98DD-2558B56075F6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BEEA6062-2E56-4D83-A62F-D0C7BCF8B83E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A6DAFDEB-7EE3-4289-8117-6A0BC78D910C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2694188-DDE2-4309-B277-5159AC33E55F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BD1B372F-E45C-4C64-A459-493CC8FF70DE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B4D480E1-134E-48A4-A070-8EF18E95B6E4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172E4F8F-E5B3-4954-8467-309D6EA20700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ECCA369F-8C9D-49D3-8561-C00A6F33FC9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E102EF2-B6CD-431F-B3F3-99005160D700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341D54D-9516-4561-BA5E-1C61E367C11C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2B381D84-F7B8-4DFA-965B-768D59D527BA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20283B25-74DA-43C8-988B-C6726762273A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2D354D2F-561D-40A7-B228-5C8F63AEFD75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944C8BF9-EEF9-4C7D-A7AB-3A16BF7F84CA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EBFABFC0-A518-4865-8AFF-18D82C0B6D20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9D58DAFD-16D6-4D90-B0DE-FFAB8B3CA017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7DD06635-D652-4C23-9D35-F9513912F662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B98580-75A3-484C-ACC9-7DFCB7059D3D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BDC7A0B4-3044-47D7-9DD0-7F77C13C9C98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46DA55A2-9326-41CB-ABF1-AEF59E5939D7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16C3668-ED15-40DF-BA36-EEDC9E4E7768}"/>
            </a:ext>
          </a:extLst>
        </xdr:cNvPr>
        <xdr:cNvSpPr/>
      </xdr:nvSpPr>
      <xdr:spPr>
        <a:xfrm>
          <a:off x="5366558" y="5014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549AFAEA-CBDF-4647-8FB1-99E7CB9965BC}"/>
            </a:ext>
          </a:extLst>
        </xdr:cNvPr>
        <xdr:cNvSpPr/>
      </xdr:nvSpPr>
      <xdr:spPr>
        <a:xfrm>
          <a:off x="5854315" y="598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CE881712-4C5A-4808-B25D-F98ED96C11B8}"/>
            </a:ext>
          </a:extLst>
        </xdr:cNvPr>
        <xdr:cNvSpPr/>
      </xdr:nvSpPr>
      <xdr:spPr>
        <a:xfrm>
          <a:off x="4897120" y="615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7F35F9FF-9124-44EB-9AF5-12186199EA5E}"/>
            </a:ext>
          </a:extLst>
        </xdr:cNvPr>
        <xdr:cNvSpPr/>
      </xdr:nvSpPr>
      <xdr:spPr>
        <a:xfrm>
          <a:off x="489712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E38E941-5664-40B7-8DE2-E1DE91422270}"/>
            </a:ext>
          </a:extLst>
        </xdr:cNvPr>
        <xdr:cNvSpPr/>
      </xdr:nvSpPr>
      <xdr:spPr>
        <a:xfrm>
          <a:off x="441706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AEC49D0D-2B83-4B4C-A2A2-52E179BD80E3}"/>
            </a:ext>
          </a:extLst>
        </xdr:cNvPr>
        <xdr:cNvSpPr/>
      </xdr:nvSpPr>
      <xdr:spPr>
        <a:xfrm>
          <a:off x="489712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AADFE9E2-4705-4304-9F5E-953CE4A8DB6B}"/>
            </a:ext>
          </a:extLst>
        </xdr:cNvPr>
        <xdr:cNvSpPr/>
      </xdr:nvSpPr>
      <xdr:spPr>
        <a:xfrm>
          <a:off x="4417060" y="710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5BD32CE5-5DFF-4275-A14F-F0F444669812}"/>
            </a:ext>
          </a:extLst>
        </xdr:cNvPr>
        <xdr:cNvSpPr/>
      </xdr:nvSpPr>
      <xdr:spPr>
        <a:xfrm>
          <a:off x="5366558" y="73005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0A5234C6-AAEE-4269-94F2-FA6A25ABF42E}"/>
            </a:ext>
          </a:extLst>
        </xdr:cNvPr>
        <xdr:cNvSpPr/>
      </xdr:nvSpPr>
      <xdr:spPr>
        <a:xfrm>
          <a:off x="489712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AC0303A5-5D9F-40CD-9B9D-75D6B81FC64C}"/>
            </a:ext>
          </a:extLst>
        </xdr:cNvPr>
        <xdr:cNvSpPr/>
      </xdr:nvSpPr>
      <xdr:spPr>
        <a:xfrm>
          <a:off x="4417060" y="768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B3E73F6F-20D6-47CB-97B2-007A8F30B27C}"/>
            </a:ext>
          </a:extLst>
        </xdr:cNvPr>
        <xdr:cNvSpPr/>
      </xdr:nvSpPr>
      <xdr:spPr>
        <a:xfrm>
          <a:off x="4897120" y="806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0418A9E-CDE0-410D-8932-B309D02043AF}"/>
            </a:ext>
          </a:extLst>
        </xdr:cNvPr>
        <xdr:cNvSpPr/>
      </xdr:nvSpPr>
      <xdr:spPr>
        <a:xfrm>
          <a:off x="6334375" y="6355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268CBC49-E243-4F55-AA93-F410412424E7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7153BF1-A1B3-4E73-B17A-41732D7401B6}"/>
            </a:ext>
          </a:extLst>
        </xdr:cNvPr>
        <xdr:cNvSpPr/>
      </xdr:nvSpPr>
      <xdr:spPr>
        <a:xfrm>
          <a:off x="6334375" y="826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BE29F53-CAF8-45CF-99CA-4B54AA4BE08A}"/>
            </a:ext>
          </a:extLst>
        </xdr:cNvPr>
        <xdr:cNvSpPr/>
      </xdr:nvSpPr>
      <xdr:spPr>
        <a:xfrm>
          <a:off x="489712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934A2783-4A35-473E-84C3-E513820B20F9}"/>
            </a:ext>
          </a:extLst>
        </xdr:cNvPr>
        <xdr:cNvSpPr/>
      </xdr:nvSpPr>
      <xdr:spPr>
        <a:xfrm>
          <a:off x="441706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504DBE84-B6D4-4B61-ACD3-3C4AA65354C3}"/>
            </a:ext>
          </a:extLst>
        </xdr:cNvPr>
        <xdr:cNvSpPr/>
      </xdr:nvSpPr>
      <xdr:spPr>
        <a:xfrm>
          <a:off x="489712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DAF0A2-8053-4522-9BDE-EF168112C9FE}"/>
            </a:ext>
          </a:extLst>
        </xdr:cNvPr>
        <xdr:cNvSpPr/>
      </xdr:nvSpPr>
      <xdr:spPr>
        <a:xfrm>
          <a:off x="441706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F299F39C-1336-4DB5-B99A-288C4B4101C8}"/>
            </a:ext>
          </a:extLst>
        </xdr:cNvPr>
        <xdr:cNvSpPr/>
      </xdr:nvSpPr>
      <xdr:spPr>
        <a:xfrm>
          <a:off x="489712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54D1F092-E873-4123-BB05-0AB918B67E31}"/>
            </a:ext>
          </a:extLst>
        </xdr:cNvPr>
        <xdr:cNvSpPr/>
      </xdr:nvSpPr>
      <xdr:spPr>
        <a:xfrm>
          <a:off x="4417060" y="958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66A01D5D-712B-4731-9F19-2C1CECAF3AED}"/>
            </a:ext>
          </a:extLst>
        </xdr:cNvPr>
        <xdr:cNvSpPr/>
      </xdr:nvSpPr>
      <xdr:spPr>
        <a:xfrm>
          <a:off x="4897120" y="996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ED7CEF7A-3219-488A-B7E7-14DC7093278C}"/>
            </a:ext>
          </a:extLst>
        </xdr:cNvPr>
        <xdr:cNvSpPr/>
      </xdr:nvSpPr>
      <xdr:spPr>
        <a:xfrm>
          <a:off x="4417060" y="1015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68526A6D-D37C-49A3-90F9-9259B166CFDC}"/>
            </a:ext>
          </a:extLst>
        </xdr:cNvPr>
        <xdr:cNvSpPr/>
      </xdr:nvSpPr>
      <xdr:spPr>
        <a:xfrm>
          <a:off x="489712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E0A36BDE-635B-448B-94D7-D955EC7B74FD}"/>
            </a:ext>
          </a:extLst>
        </xdr:cNvPr>
        <xdr:cNvSpPr/>
      </xdr:nvSpPr>
      <xdr:spPr>
        <a:xfrm>
          <a:off x="5854315" y="7887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8CCFE196-7481-4586-843A-D7E757A6C76F}"/>
            </a:ext>
          </a:extLst>
        </xdr:cNvPr>
        <xdr:cNvSpPr/>
      </xdr:nvSpPr>
      <xdr:spPr>
        <a:xfrm>
          <a:off x="5854315" y="845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88F62C99-52F0-483C-84D9-4CEFC19876CF}"/>
            </a:ext>
          </a:extLst>
        </xdr:cNvPr>
        <xdr:cNvSpPr/>
      </xdr:nvSpPr>
      <xdr:spPr>
        <a:xfrm>
          <a:off x="5854315" y="9792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6F501488-AFFD-4027-899C-1DF6BC9F2183}"/>
            </a:ext>
          </a:extLst>
        </xdr:cNvPr>
        <xdr:cNvSpPr/>
      </xdr:nvSpPr>
      <xdr:spPr>
        <a:xfrm>
          <a:off x="5854315" y="1036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54" name="Conector recto 53">
          <a:extLst>
            <a:ext uri="{FF2B5EF4-FFF2-40B4-BE49-F238E27FC236}">
              <a16:creationId xmlns:a16="http://schemas.microsoft.com/office/drawing/2014/main" id="{A1C277F2-C2A4-4800-921E-076DC202A6D1}"/>
            </a:ext>
          </a:extLst>
        </xdr:cNvPr>
        <xdr:cNvCxnSpPr>
          <a:stCxn id="25" idx="7"/>
          <a:endCxn id="23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21A015CF-1000-4CAF-86B5-79C4D3CE9956}"/>
            </a:ext>
          </a:extLst>
        </xdr:cNvPr>
        <xdr:cNvCxnSpPr>
          <a:stCxn id="7" idx="7"/>
          <a:endCxn id="23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19775670-5AEA-4A0D-AB29-9B01EB295081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57" name="Conector recto 56">
          <a:extLst>
            <a:ext uri="{FF2B5EF4-FFF2-40B4-BE49-F238E27FC236}">
              <a16:creationId xmlns:a16="http://schemas.microsoft.com/office/drawing/2014/main" id="{1DFC81A5-B7E9-408B-8AA1-C702D14D952F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90EE6392-9F1A-4447-9D9B-8456C333C376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8F13EEC9-C58A-4044-91A8-01BB26FDB27E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217E2ABE-65D7-4DE2-ABF9-E5342163ABB7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C98C331D-AFB6-4099-9F34-7D72AF5684FC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E170A100-FFA6-4F31-A760-E8DA96C99277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19F4B05C-F028-4921-98F1-304A75886EC0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64" name="Conector recto 63">
          <a:extLst>
            <a:ext uri="{FF2B5EF4-FFF2-40B4-BE49-F238E27FC236}">
              <a16:creationId xmlns:a16="http://schemas.microsoft.com/office/drawing/2014/main" id="{651812F7-FDC6-4363-8EC6-E41318D60C29}"/>
            </a:ext>
          </a:extLst>
        </xdr:cNvPr>
        <xdr:cNvCxnSpPr>
          <a:stCxn id="16" idx="6"/>
          <a:endCxn id="22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A19C39DC-98C0-40B9-999D-81421F2C9CDF}"/>
            </a:ext>
          </a:extLst>
        </xdr:cNvPr>
        <xdr:cNvCxnSpPr>
          <a:stCxn id="15" idx="6"/>
          <a:endCxn id="22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66" name="Conector recto 65">
          <a:extLst>
            <a:ext uri="{FF2B5EF4-FFF2-40B4-BE49-F238E27FC236}">
              <a16:creationId xmlns:a16="http://schemas.microsoft.com/office/drawing/2014/main" id="{E69059B1-C6AB-4294-B063-1E62EC6CEBED}"/>
            </a:ext>
          </a:extLst>
        </xdr:cNvPr>
        <xdr:cNvCxnSpPr>
          <a:stCxn id="39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60A93C76-A3F2-4A12-A49D-61B993353FFB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68" name="Conector recto 67">
          <a:extLst>
            <a:ext uri="{FF2B5EF4-FFF2-40B4-BE49-F238E27FC236}">
              <a16:creationId xmlns:a16="http://schemas.microsoft.com/office/drawing/2014/main" id="{D5483B20-2E22-49F8-960E-8BC4F0B5FFB7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7657EA54-B29D-4149-9459-406FF74291A0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90BEAA75-B342-4022-8962-E0503634827B}"/>
            </a:ext>
          </a:extLst>
        </xdr:cNvPr>
        <xdr:cNvCxnSpPr>
          <a:cxnSpLocks/>
          <a:stCxn id="108" idx="0"/>
          <a:endCxn id="21" idx="1"/>
        </xdr:cNvCxnSpPr>
      </xdr:nvCxnSpPr>
      <xdr:spPr>
        <a:xfrm flipH="1" flipV="1">
          <a:off x="4423663" y="4068063"/>
          <a:ext cx="496000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FD7FB24B-2714-4476-B2FE-43E242DAC477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5A9C6D2E-2929-4937-A7A2-22F8FACF0D86}"/>
            </a:ext>
          </a:extLst>
        </xdr:cNvPr>
        <xdr:cNvCxnSpPr>
          <a:stCxn id="26" idx="3"/>
          <a:endCxn id="24" idx="3"/>
        </xdr:cNvCxnSpPr>
      </xdr:nvCxnSpPr>
      <xdr:spPr>
        <a:xfrm flipV="1">
          <a:off x="4423663" y="4671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351E155A-ED47-4C10-90C4-D91B13147E14}"/>
            </a:ext>
          </a:extLst>
        </xdr:cNvPr>
        <xdr:cNvCxnSpPr>
          <a:stCxn id="27" idx="6"/>
          <a:endCxn id="26" idx="5"/>
        </xdr:cNvCxnSpPr>
      </xdr:nvCxnSpPr>
      <xdr:spPr>
        <a:xfrm flipH="1" flipV="1">
          <a:off x="4462145" y="4846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7751160C-B9B4-478E-B672-44A989F02E7D}"/>
            </a:ext>
          </a:extLst>
        </xdr:cNvPr>
        <xdr:cNvCxnSpPr>
          <a:stCxn id="28" idx="6"/>
          <a:endCxn id="102" idx="6"/>
        </xdr:cNvCxnSpPr>
      </xdr:nvCxnSpPr>
      <xdr:spPr>
        <a:xfrm flipH="1" flipV="1">
          <a:off x="4939280" y="5814513"/>
          <a:ext cx="96012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0EA17422-500E-4625-8F27-8C4297296042}"/>
            </a:ext>
          </a:extLst>
        </xdr:cNvPr>
        <xdr:cNvCxnSpPr>
          <a:stCxn id="29" idx="0"/>
          <a:endCxn id="28" idx="6"/>
        </xdr:cNvCxnSpPr>
      </xdr:nvCxnSpPr>
      <xdr:spPr>
        <a:xfrm flipV="1">
          <a:off x="4919663" y="60050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439FBC5D-9689-4F58-BC2B-31F13BDACFB7}"/>
            </a:ext>
          </a:extLst>
        </xdr:cNvPr>
        <xdr:cNvCxnSpPr>
          <a:stCxn id="38" idx="7"/>
          <a:endCxn id="29" idx="6"/>
        </xdr:cNvCxnSpPr>
      </xdr:nvCxnSpPr>
      <xdr:spPr>
        <a:xfrm flipH="1" flipV="1">
          <a:off x="4942205" y="61795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FAF9EDFC-BC9E-49ED-BCC4-AF020B3A281A}"/>
            </a:ext>
          </a:extLst>
        </xdr:cNvPr>
        <xdr:cNvCxnSpPr>
          <a:stCxn id="30" idx="5"/>
          <a:endCxn id="38" idx="6"/>
        </xdr:cNvCxnSpPr>
      </xdr:nvCxnSpPr>
      <xdr:spPr>
        <a:xfrm flipV="1">
          <a:off x="4935602" y="63783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F4DEBA7B-5909-4F86-9B2D-1F614E01BB6B}"/>
            </a:ext>
          </a:extLst>
        </xdr:cNvPr>
        <xdr:cNvCxnSpPr>
          <a:stCxn id="31" idx="6"/>
          <a:endCxn id="30" idx="4"/>
        </xdr:cNvCxnSpPr>
      </xdr:nvCxnSpPr>
      <xdr:spPr>
        <a:xfrm flipV="1">
          <a:off x="4462145" y="65830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78D70A83-5A4B-40A3-9D7C-657D32E236DB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55542" y="67669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A17CAFC5-F7B5-4EFD-BCBF-BB2EB31E05A2}"/>
            </a:ext>
          </a:extLst>
        </xdr:cNvPr>
        <xdr:cNvCxnSpPr>
          <a:stCxn id="33" idx="1"/>
          <a:endCxn id="32" idx="3"/>
        </xdr:cNvCxnSpPr>
      </xdr:nvCxnSpPr>
      <xdr:spPr>
        <a:xfrm flipV="1">
          <a:off x="4423663" y="6957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F97B6792-2918-4981-9D7B-6C4577DB4768}"/>
            </a:ext>
          </a:extLst>
        </xdr:cNvPr>
        <xdr:cNvCxnSpPr>
          <a:stCxn id="34" idx="6"/>
          <a:endCxn id="33" idx="6"/>
        </xdr:cNvCxnSpPr>
      </xdr:nvCxnSpPr>
      <xdr:spPr>
        <a:xfrm flipH="1" flipV="1">
          <a:off x="4462145" y="71320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701FEE00-5770-4ECD-B702-573B7D8760F9}"/>
            </a:ext>
          </a:extLst>
        </xdr:cNvPr>
        <xdr:cNvCxnSpPr>
          <a:stCxn id="35" idx="7"/>
          <a:endCxn id="34" idx="5"/>
        </xdr:cNvCxnSpPr>
      </xdr:nvCxnSpPr>
      <xdr:spPr>
        <a:xfrm flipV="1">
          <a:off x="4935602" y="73390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C04E03A1-B15E-4F43-AF0C-F20705E1BF89}"/>
            </a:ext>
          </a:extLst>
        </xdr:cNvPr>
        <xdr:cNvCxnSpPr>
          <a:stCxn id="36" idx="0"/>
          <a:endCxn id="35" idx="3"/>
        </xdr:cNvCxnSpPr>
      </xdr:nvCxnSpPr>
      <xdr:spPr>
        <a:xfrm flipV="1">
          <a:off x="4439603" y="75355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CA930AC4-8D5D-4EAC-8466-26811E22DCD1}"/>
            </a:ext>
          </a:extLst>
        </xdr:cNvPr>
        <xdr:cNvCxnSpPr>
          <a:stCxn id="50" idx="6"/>
          <a:endCxn id="36" idx="4"/>
        </xdr:cNvCxnSpPr>
      </xdr:nvCxnSpPr>
      <xdr:spPr>
        <a:xfrm flipH="1" flipV="1">
          <a:off x="4439603" y="77260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C97D12DA-A256-4957-A253-8D7B9BB63A42}"/>
            </a:ext>
          </a:extLst>
        </xdr:cNvPr>
        <xdr:cNvCxnSpPr>
          <a:stCxn id="37" idx="1"/>
          <a:endCxn id="50" idx="6"/>
        </xdr:cNvCxnSpPr>
      </xdr:nvCxnSpPr>
      <xdr:spPr>
        <a:xfrm flipV="1">
          <a:off x="4903723" y="79100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B5BCDDD-D102-43A4-B506-BA7A072A5F41}"/>
            </a:ext>
          </a:extLst>
        </xdr:cNvPr>
        <xdr:cNvCxnSpPr>
          <a:cxnSpLocks/>
          <a:stCxn id="37" idx="5"/>
          <a:endCxn id="40" idx="1"/>
        </xdr:cNvCxnSpPr>
      </xdr:nvCxnSpPr>
      <xdr:spPr>
        <a:xfrm>
          <a:off x="4935602" y="8100442"/>
          <a:ext cx="1405376" cy="1669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3218BA84-1296-431A-81D2-82CCB3FEB307}"/>
            </a:ext>
          </a:extLst>
        </xdr:cNvPr>
        <xdr:cNvCxnSpPr>
          <a:stCxn id="49" idx="6"/>
          <a:endCxn id="53" idx="6"/>
        </xdr:cNvCxnSpPr>
      </xdr:nvCxnSpPr>
      <xdr:spPr>
        <a:xfrm flipV="1">
          <a:off x="4942205" y="1038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3F5E259E-F04E-4133-BF30-A7996CF83341}"/>
            </a:ext>
          </a:extLst>
        </xdr:cNvPr>
        <xdr:cNvCxnSpPr>
          <a:stCxn id="48" idx="1"/>
          <a:endCxn id="53" idx="6"/>
        </xdr:cNvCxnSpPr>
      </xdr:nvCxnSpPr>
      <xdr:spPr>
        <a:xfrm>
          <a:off x="4423663" y="101640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EC5E7A25-656C-434D-A197-3B04CFA1CCC5}"/>
            </a:ext>
          </a:extLst>
        </xdr:cNvPr>
        <xdr:cNvCxnSpPr>
          <a:stCxn id="47" idx="2"/>
          <a:endCxn id="48" idx="0"/>
        </xdr:cNvCxnSpPr>
      </xdr:nvCxnSpPr>
      <xdr:spPr>
        <a:xfrm flipH="1">
          <a:off x="4439603" y="9989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48735107-4343-4E11-84AB-A3F0FF2AE425}"/>
            </a:ext>
          </a:extLst>
        </xdr:cNvPr>
        <xdr:cNvCxnSpPr>
          <a:stCxn id="46" idx="7"/>
          <a:endCxn id="52" idx="6"/>
        </xdr:cNvCxnSpPr>
      </xdr:nvCxnSpPr>
      <xdr:spPr>
        <a:xfrm>
          <a:off x="4455542" y="95925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8621903B-FD52-4DC9-9968-67417D0CE819}"/>
            </a:ext>
          </a:extLst>
        </xdr:cNvPr>
        <xdr:cNvCxnSpPr>
          <a:stCxn id="47" idx="2"/>
          <a:endCxn id="52" idx="5"/>
        </xdr:cNvCxnSpPr>
      </xdr:nvCxnSpPr>
      <xdr:spPr>
        <a:xfrm flipV="1">
          <a:off x="4897120" y="98375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90887B57-EDFD-4BEE-8405-6FE37F0BF998}"/>
            </a:ext>
          </a:extLst>
        </xdr:cNvPr>
        <xdr:cNvCxnSpPr>
          <a:stCxn id="46" idx="0"/>
          <a:endCxn id="45" idx="6"/>
        </xdr:cNvCxnSpPr>
      </xdr:nvCxnSpPr>
      <xdr:spPr>
        <a:xfrm flipV="1">
          <a:off x="4439603" y="9418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E4D36EE5-E5F5-4E07-9036-19C3541921CB}"/>
            </a:ext>
          </a:extLst>
        </xdr:cNvPr>
        <xdr:cNvCxnSpPr>
          <a:stCxn id="44" idx="7"/>
          <a:endCxn id="45" idx="2"/>
        </xdr:cNvCxnSpPr>
      </xdr:nvCxnSpPr>
      <xdr:spPr>
        <a:xfrm>
          <a:off x="4455542" y="92115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1C6F7BDE-055D-4110-814C-BCE6ECD3B43E}"/>
            </a:ext>
          </a:extLst>
        </xdr:cNvPr>
        <xdr:cNvCxnSpPr>
          <a:stCxn id="43" idx="6"/>
          <a:endCxn id="44" idx="1"/>
        </xdr:cNvCxnSpPr>
      </xdr:nvCxnSpPr>
      <xdr:spPr>
        <a:xfrm flipH="1">
          <a:off x="4455542" y="9037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B9954E3C-E0A1-42F8-AF2B-1A9ABDF69F26}"/>
            </a:ext>
          </a:extLst>
        </xdr:cNvPr>
        <xdr:cNvCxnSpPr>
          <a:stCxn id="42" idx="1"/>
          <a:endCxn id="41" idx="5"/>
        </xdr:cNvCxnSpPr>
      </xdr:nvCxnSpPr>
      <xdr:spPr>
        <a:xfrm flipV="1">
          <a:off x="4423663" y="86560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197B08C5-D866-4E7D-9D08-0A3DD1712AF0}"/>
            </a:ext>
          </a:extLst>
        </xdr:cNvPr>
        <xdr:cNvCxnSpPr>
          <a:stCxn id="43" idx="6"/>
          <a:endCxn id="42" idx="1"/>
        </xdr:cNvCxnSpPr>
      </xdr:nvCxnSpPr>
      <xdr:spPr>
        <a:xfrm flipH="1" flipV="1">
          <a:off x="4462145" y="88465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E6600AA0-C8AE-40F9-A6D8-DD4A59319B91}"/>
            </a:ext>
          </a:extLst>
        </xdr:cNvPr>
        <xdr:cNvCxnSpPr>
          <a:stCxn id="40" idx="4"/>
          <a:endCxn id="51" idx="1"/>
        </xdr:cNvCxnSpPr>
      </xdr:nvCxnSpPr>
      <xdr:spPr>
        <a:xfrm flipH="1">
          <a:off x="5860918" y="83058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175CE8AB-9BE6-4C20-917E-FBD53A55017B}"/>
            </a:ext>
          </a:extLst>
        </xdr:cNvPr>
        <xdr:cNvCxnSpPr>
          <a:stCxn id="41" idx="7"/>
          <a:endCxn id="51" idx="3"/>
        </xdr:cNvCxnSpPr>
      </xdr:nvCxnSpPr>
      <xdr:spPr>
        <a:xfrm flipV="1">
          <a:off x="4935602" y="84974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DECEDB3D-2F7E-4CAF-A82B-6244DDA8E11D}"/>
            </a:ext>
          </a:extLst>
        </xdr:cNvPr>
        <xdr:cNvCxnSpPr>
          <a:stCxn id="17" idx="6"/>
          <a:endCxn id="39" idx="3"/>
        </xdr:cNvCxnSpPr>
      </xdr:nvCxnSpPr>
      <xdr:spPr>
        <a:xfrm flipV="1">
          <a:off x="5902325" y="3155755"/>
          <a:ext cx="438653" cy="17394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00" name="Elipse 99">
          <a:extLst>
            <a:ext uri="{FF2B5EF4-FFF2-40B4-BE49-F238E27FC236}">
              <a16:creationId xmlns:a16="http://schemas.microsoft.com/office/drawing/2014/main" id="{046494A2-E09F-4460-B2BD-5DE16BA509C9}"/>
            </a:ext>
          </a:extLst>
        </xdr:cNvPr>
        <xdr:cNvSpPr/>
      </xdr:nvSpPr>
      <xdr:spPr>
        <a:xfrm>
          <a:off x="5854315" y="5220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01" name="Elipse 100">
          <a:extLst>
            <a:ext uri="{FF2B5EF4-FFF2-40B4-BE49-F238E27FC236}">
              <a16:creationId xmlns:a16="http://schemas.microsoft.com/office/drawing/2014/main" id="{2EC9F6C4-3BBB-47D7-B6D0-A1FDC53327E8}"/>
            </a:ext>
          </a:extLst>
        </xdr:cNvPr>
        <xdr:cNvSpPr/>
      </xdr:nvSpPr>
      <xdr:spPr>
        <a:xfrm>
          <a:off x="4894195" y="5410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02" name="Elipse 101">
          <a:extLst>
            <a:ext uri="{FF2B5EF4-FFF2-40B4-BE49-F238E27FC236}">
              <a16:creationId xmlns:a16="http://schemas.microsoft.com/office/drawing/2014/main" id="{C537E813-C552-42E8-8889-8D29F90EDC95}"/>
            </a:ext>
          </a:extLst>
        </xdr:cNvPr>
        <xdr:cNvSpPr/>
      </xdr:nvSpPr>
      <xdr:spPr>
        <a:xfrm>
          <a:off x="489419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03" name="Elipse 102">
          <a:extLst>
            <a:ext uri="{FF2B5EF4-FFF2-40B4-BE49-F238E27FC236}">
              <a16:creationId xmlns:a16="http://schemas.microsoft.com/office/drawing/2014/main" id="{54F507A9-8870-4ED2-BE33-CE1943A49CA5}"/>
            </a:ext>
          </a:extLst>
        </xdr:cNvPr>
        <xdr:cNvSpPr/>
      </xdr:nvSpPr>
      <xdr:spPr>
        <a:xfrm>
          <a:off x="4414135" y="5601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8054E8FC-A366-40E8-89DE-6637704F2229}"/>
            </a:ext>
          </a:extLst>
        </xdr:cNvPr>
        <xdr:cNvCxnSpPr>
          <a:stCxn id="103" idx="0"/>
          <a:endCxn id="102" idx="7"/>
        </xdr:cNvCxnSpPr>
      </xdr:nvCxnSpPr>
      <xdr:spPr>
        <a:xfrm>
          <a:off x="4436678" y="5601470"/>
          <a:ext cx="464120" cy="19710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0E9F072E-FD81-4440-A079-B39DE7D43317}"/>
            </a:ext>
          </a:extLst>
        </xdr:cNvPr>
        <xdr:cNvCxnSpPr>
          <a:stCxn id="101" idx="6"/>
          <a:endCxn id="103" idx="1"/>
        </xdr:cNvCxnSpPr>
      </xdr:nvCxnSpPr>
      <xdr:spPr>
        <a:xfrm flipH="1">
          <a:off x="4420738" y="543351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937F55C5-0D72-4883-A9BD-209B4A5EC1B3}"/>
            </a:ext>
          </a:extLst>
        </xdr:cNvPr>
        <xdr:cNvCxnSpPr>
          <a:stCxn id="100" idx="5"/>
          <a:endCxn id="101" idx="7"/>
        </xdr:cNvCxnSpPr>
      </xdr:nvCxnSpPr>
      <xdr:spPr>
        <a:xfrm flipH="1">
          <a:off x="4932677" y="5258952"/>
          <a:ext cx="96012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33A309F-6F7D-484C-A34E-1FDE45F9FBD7}"/>
            </a:ext>
          </a:extLst>
        </xdr:cNvPr>
        <xdr:cNvCxnSpPr>
          <a:stCxn id="27" idx="5"/>
          <a:endCxn id="100" idx="7"/>
        </xdr:cNvCxnSpPr>
      </xdr:nvCxnSpPr>
      <xdr:spPr>
        <a:xfrm>
          <a:off x="5405040" y="5053058"/>
          <a:ext cx="487757" cy="1740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08" name="Elipse 107">
          <a:extLst>
            <a:ext uri="{FF2B5EF4-FFF2-40B4-BE49-F238E27FC236}">
              <a16:creationId xmlns:a16="http://schemas.microsoft.com/office/drawing/2014/main" id="{85E5D460-F8F5-44AB-BF93-3A68DEDCCC57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19BEDEA2-6242-43F2-98B8-3E7CC38A5598}"/>
            </a:ext>
          </a:extLst>
        </xdr:cNvPr>
        <xdr:cNvCxnSpPr>
          <a:endCxn id="108" idx="3"/>
        </xdr:cNvCxnSpPr>
      </xdr:nvCxnSpPr>
      <xdr:spPr>
        <a:xfrm flipV="1">
          <a:off x="4423663" y="42904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10" name="Elipse 109">
          <a:extLst>
            <a:ext uri="{FF2B5EF4-FFF2-40B4-BE49-F238E27FC236}">
              <a16:creationId xmlns:a16="http://schemas.microsoft.com/office/drawing/2014/main" id="{71F4E913-7FDD-4262-BEAF-608B910F35C6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DD7CC489-335B-4482-969E-AB706209DA89}"/>
            </a:ext>
          </a:extLst>
        </xdr:cNvPr>
        <xdr:cNvCxnSpPr>
          <a:stCxn id="24" idx="7"/>
          <a:endCxn id="110" idx="3"/>
        </xdr:cNvCxnSpPr>
      </xdr:nvCxnSpPr>
      <xdr:spPr>
        <a:xfrm flipH="1" flipV="1">
          <a:off x="4423663" y="4480942"/>
          <a:ext cx="511939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3899C0D2-DACF-42AA-A59A-2DFE982E29E4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2162ADA1-5742-4419-B9E2-4B205B5FDA1A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DBE26B6B-BCF1-4DBD-AFCF-53DD736601CE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ADFE3920-DA77-409A-9388-4B44BEC00BDA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42A42B4-B343-49FD-A447-E872739B40BD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677CBF2-5127-44C8-BA4F-0874878F0A1D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99D5563-B11C-4CBF-8024-68B8AEEE7B1C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4D9A2C9D-A148-4C8B-9A26-1BA884EA5F4E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6C5A753F-6D20-4211-A8C4-A48EFF0FCE09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EE713F06-D89E-4ED2-AF73-C18661CBA05C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A3690711-14A0-46EC-86E8-237512B7700E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BC82D30-8EAA-47C1-A3ED-68CC16912237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7D0151C8-FA47-4F4C-A99E-FD6814E9492F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8122B22-026E-443E-9834-004BFD233A0F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48DF1A68-9E52-4EE2-A0F8-A1348A88C5E9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30E2EFC6-E871-458E-B66C-87506F80985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3BF6F3F6-75A5-4A5A-B26D-02C8F288A2E6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A6611925-725A-449A-9718-BAD62873A5ED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55348741-59F7-4AC0-9FC7-97F60E5A4FAF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94B1A825-4CF2-4FA4-8EDD-BB3B93E67E6F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D9328EFB-7B4C-4FCB-A939-FF0ABF2AFE82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A88FC8BB-5B0B-484A-B4AA-94914ECF0254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138B06B-95B0-4C01-B09D-3C58D6425883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C33C469C-E6A3-4E1B-89A1-0814791348C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B5D24367-360C-4101-B8ED-CC7447E11510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26</xdr:row>
      <xdr:rowOff>61576</xdr:rowOff>
    </xdr:from>
    <xdr:to>
      <xdr:col>7</xdr:col>
      <xdr:colOff>252903</xdr:colOff>
      <xdr:row>26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925B233C-55D4-4D79-ACB3-E272F064BD68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31</xdr:row>
      <xdr:rowOff>76970</xdr:rowOff>
    </xdr:from>
    <xdr:to>
      <xdr:col>8</xdr:col>
      <xdr:colOff>260600</xdr:colOff>
      <xdr:row>31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B009F76-8543-4D88-8E25-35BF7484CB0C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32</xdr:row>
      <xdr:rowOff>60960</xdr:rowOff>
    </xdr:from>
    <xdr:to>
      <xdr:col>6</xdr:col>
      <xdr:colOff>263525</xdr:colOff>
      <xdr:row>32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7CB8EBBC-9520-4DB5-A195-DDE046EF415A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34</xdr:row>
      <xdr:rowOff>60960</xdr:rowOff>
    </xdr:from>
    <xdr:to>
      <xdr:col>6</xdr:col>
      <xdr:colOff>263525</xdr:colOff>
      <xdr:row>34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B1E2CE5D-83A4-4F42-BC6E-8A2BD46A804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35</xdr:row>
      <xdr:rowOff>60960</xdr:rowOff>
    </xdr:from>
    <xdr:to>
      <xdr:col>5</xdr:col>
      <xdr:colOff>263525</xdr:colOff>
      <xdr:row>35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3F482D57-6388-4FF2-ACA8-73C69227449D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36</xdr:row>
      <xdr:rowOff>60960</xdr:rowOff>
    </xdr:from>
    <xdr:to>
      <xdr:col>6</xdr:col>
      <xdr:colOff>263525</xdr:colOff>
      <xdr:row>36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0F8BC6F-21EE-421B-BCE9-B08F25BFC045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37</xdr:row>
      <xdr:rowOff>60960</xdr:rowOff>
    </xdr:from>
    <xdr:to>
      <xdr:col>5</xdr:col>
      <xdr:colOff>263525</xdr:colOff>
      <xdr:row>37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C1152894-BD2C-4DA0-A7E3-41084CC3853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38</xdr:row>
      <xdr:rowOff>61576</xdr:rowOff>
    </xdr:from>
    <xdr:to>
      <xdr:col>7</xdr:col>
      <xdr:colOff>252903</xdr:colOff>
      <xdr:row>38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6ADDA99B-DDB7-433C-93E0-4B1D51BA84F3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39</xdr:row>
      <xdr:rowOff>60960</xdr:rowOff>
    </xdr:from>
    <xdr:to>
      <xdr:col>6</xdr:col>
      <xdr:colOff>263525</xdr:colOff>
      <xdr:row>39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9CBEEDB-6BCF-4A8A-A90E-591B809F702D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40</xdr:row>
      <xdr:rowOff>60960</xdr:rowOff>
    </xdr:from>
    <xdr:to>
      <xdr:col>5</xdr:col>
      <xdr:colOff>263525</xdr:colOff>
      <xdr:row>40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6E58B5C-F829-44C3-8767-B0E7B58D7BCF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42</xdr:row>
      <xdr:rowOff>60960</xdr:rowOff>
    </xdr:from>
    <xdr:to>
      <xdr:col>6</xdr:col>
      <xdr:colOff>263525</xdr:colOff>
      <xdr:row>42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67C72A38-92F6-41DA-895B-59DD7D8EEB5B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33</xdr:row>
      <xdr:rowOff>69273</xdr:rowOff>
    </xdr:from>
    <xdr:to>
      <xdr:col>9</xdr:col>
      <xdr:colOff>260600</xdr:colOff>
      <xdr:row>33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DD6CDE93-2523-43A0-85E3-04452599D8EC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D4FA954C-160F-4C04-A6BF-0FC1EE76FBB6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43</xdr:row>
      <xdr:rowOff>69273</xdr:rowOff>
    </xdr:from>
    <xdr:to>
      <xdr:col>9</xdr:col>
      <xdr:colOff>260600</xdr:colOff>
      <xdr:row>43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13C9498F-72C0-42D9-B46F-A5222DF6889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45</xdr:row>
      <xdr:rowOff>60960</xdr:rowOff>
    </xdr:from>
    <xdr:to>
      <xdr:col>6</xdr:col>
      <xdr:colOff>263525</xdr:colOff>
      <xdr:row>45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43221618-46AE-4756-B061-D481F1E95A5C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46</xdr:row>
      <xdr:rowOff>60960</xdr:rowOff>
    </xdr:from>
    <xdr:to>
      <xdr:col>5</xdr:col>
      <xdr:colOff>263525</xdr:colOff>
      <xdr:row>46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3E13E3C4-F2EA-41C2-8B06-A72CC0575594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47</xdr:row>
      <xdr:rowOff>60960</xdr:rowOff>
    </xdr:from>
    <xdr:to>
      <xdr:col>6</xdr:col>
      <xdr:colOff>263525</xdr:colOff>
      <xdr:row>47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06219DEE-BE3B-4B1B-9F5B-AD54D2552046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48</xdr:row>
      <xdr:rowOff>60960</xdr:rowOff>
    </xdr:from>
    <xdr:to>
      <xdr:col>5</xdr:col>
      <xdr:colOff>263525</xdr:colOff>
      <xdr:row>48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695AC4C4-4846-4F3A-86B5-8E5630A3957F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49</xdr:row>
      <xdr:rowOff>60960</xdr:rowOff>
    </xdr:from>
    <xdr:to>
      <xdr:col>6</xdr:col>
      <xdr:colOff>263525</xdr:colOff>
      <xdr:row>49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F9ACC683-9579-461D-A07B-5E5A39267390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50</xdr:row>
      <xdr:rowOff>60960</xdr:rowOff>
    </xdr:from>
    <xdr:to>
      <xdr:col>5</xdr:col>
      <xdr:colOff>263525</xdr:colOff>
      <xdr:row>50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EA5F8839-4507-4F17-83AD-68F877D3F60C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52</xdr:row>
      <xdr:rowOff>60960</xdr:rowOff>
    </xdr:from>
    <xdr:to>
      <xdr:col>6</xdr:col>
      <xdr:colOff>263525</xdr:colOff>
      <xdr:row>52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1238A6CA-E936-4B17-B5B1-112FE457E420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53</xdr:row>
      <xdr:rowOff>60960</xdr:rowOff>
    </xdr:from>
    <xdr:to>
      <xdr:col>5</xdr:col>
      <xdr:colOff>263525</xdr:colOff>
      <xdr:row>53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E277B32F-B668-4B5F-860F-365923278723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55</xdr:row>
      <xdr:rowOff>60960</xdr:rowOff>
    </xdr:from>
    <xdr:to>
      <xdr:col>6</xdr:col>
      <xdr:colOff>263525</xdr:colOff>
      <xdr:row>55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52C9C954-41AE-42CC-9A1D-D1CB5AA0C366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41</xdr:row>
      <xdr:rowOff>76970</xdr:rowOff>
    </xdr:from>
    <xdr:to>
      <xdr:col>8</xdr:col>
      <xdr:colOff>260600</xdr:colOff>
      <xdr:row>41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FFAAE9E5-8869-42E9-9F75-CF8498D3D455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44</xdr:row>
      <xdr:rowOff>76970</xdr:rowOff>
    </xdr:from>
    <xdr:to>
      <xdr:col>8</xdr:col>
      <xdr:colOff>260600</xdr:colOff>
      <xdr:row>44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57703A3C-6AEC-4834-B895-8C6732937126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51</xdr:row>
      <xdr:rowOff>76970</xdr:rowOff>
    </xdr:from>
    <xdr:to>
      <xdr:col>8</xdr:col>
      <xdr:colOff>260600</xdr:colOff>
      <xdr:row>51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56003FD9-85D9-48C0-ABF2-67BD83A417ED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54</xdr:row>
      <xdr:rowOff>76970</xdr:rowOff>
    </xdr:from>
    <xdr:to>
      <xdr:col>8</xdr:col>
      <xdr:colOff>260600</xdr:colOff>
      <xdr:row>54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9AEFF291-C4F5-434E-8FFE-AA954A99927B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646B58A3-9944-4ACC-A228-7FFCFE2DBAE4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5D86DE3D-04FC-4852-AFEB-671F7DB7202E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A6024175-3CA2-48C6-BA68-A2AC944CEDA8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D6DB48AF-219F-4B1E-B54A-99E295C9A153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43CBAA9B-C89F-4D7A-A340-5B388C846683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883B2B9E-CB45-4B30-B9FF-AAC6FAB0D5E2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8D59D0DA-7F2D-470A-8CEC-326DC08C9BE5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CDB8E72F-1EB3-4194-9261-FC90B3B9CF98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0F31724F-E9F8-4DAB-88C6-129390ED0735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9191EFC-EDA0-4ED5-AA69-0C4AF1D4B589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6614FE17-D72A-4739-8257-966C2F410964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801CF9AD-4DCE-4B59-AB17-C3D46F149D72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E2FE2DF4-D3A5-4D0B-AF7F-04A17DCCA093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3EC7870E-4E3C-41AA-B645-99692290BB74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AF77AE17-68B0-49FA-A2B0-EB096AA8A20E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22D053C-D0BE-49E6-87B5-AF1A1E71AD6D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60960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103F015-5D8C-471A-9EB7-86DDDC257B56}"/>
            </a:ext>
          </a:extLst>
        </xdr:cNvPr>
        <xdr:cNvCxnSpPr>
          <a:cxnSpLocks/>
          <a:stCxn id="152" idx="0"/>
          <a:endCxn id="21" idx="1"/>
        </xdr:cNvCxnSpPr>
      </xdr:nvCxnSpPr>
      <xdr:spPr>
        <a:xfrm flipH="1" flipV="1">
          <a:off x="4432976" y="4156963"/>
          <a:ext cx="498540" cy="1881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B417B940-9372-462E-8668-722675368F41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24</xdr:row>
      <xdr:rowOff>99442</xdr:rowOff>
    </xdr:from>
    <xdr:to>
      <xdr:col>6</xdr:col>
      <xdr:colOff>225043</xdr:colOff>
      <xdr:row>25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CA4B3533-69E0-4ECA-9710-1F386EEDB82A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7</xdr:col>
      <xdr:colOff>252903</xdr:colOff>
      <xdr:row>26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4B3ABFB9-2230-474C-B7D1-9ABFDDD4B68F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260600</xdr:colOff>
      <xdr:row>30</xdr:row>
      <xdr:rowOff>99513</xdr:rowOff>
    </xdr:from>
    <xdr:to>
      <xdr:col>8</xdr:col>
      <xdr:colOff>260600</xdr:colOff>
      <xdr:row>31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2BA2A1CE-9841-4F97-8B03-00276645F80A}"/>
            </a:ext>
          </a:extLst>
        </xdr:cNvPr>
        <xdr:cNvCxnSpPr>
          <a:stCxn id="33" idx="6"/>
          <a:endCxn id="134" idx="6"/>
        </xdr:cNvCxnSpPr>
      </xdr:nvCxnSpPr>
      <xdr:spPr>
        <a:xfrm flipH="1" flipV="1">
          <a:off x="4951133" y="5552046"/>
          <a:ext cx="965200" cy="19473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31</xdr:row>
      <xdr:rowOff>99513</xdr:rowOff>
    </xdr:from>
    <xdr:to>
      <xdr:col>8</xdr:col>
      <xdr:colOff>260600</xdr:colOff>
      <xdr:row>32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F85B7954-9D53-41BD-AC8C-2C38E1367C2F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32</xdr:row>
      <xdr:rowOff>83503</xdr:rowOff>
    </xdr:from>
    <xdr:to>
      <xdr:col>9</xdr:col>
      <xdr:colOff>253997</xdr:colOff>
      <xdr:row>33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2CCFFBFB-B574-4670-94AD-1789543BFF87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33</xdr:row>
      <xdr:rowOff>91816</xdr:rowOff>
    </xdr:from>
    <xdr:to>
      <xdr:col>9</xdr:col>
      <xdr:colOff>260600</xdr:colOff>
      <xdr:row>34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296E5478-B202-42C6-BBD3-F116F070A2DB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34</xdr:row>
      <xdr:rowOff>106045</xdr:rowOff>
    </xdr:from>
    <xdr:to>
      <xdr:col>6</xdr:col>
      <xdr:colOff>240983</xdr:colOff>
      <xdr:row>35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B63A3331-661F-4527-9E9D-83E448A3C5E7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35</xdr:row>
      <xdr:rowOff>99442</xdr:rowOff>
    </xdr:from>
    <xdr:to>
      <xdr:col>6</xdr:col>
      <xdr:colOff>263525</xdr:colOff>
      <xdr:row>36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C38A92FB-EEB7-46DA-92F9-9A75800D5A15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36</xdr:row>
      <xdr:rowOff>99442</xdr:rowOff>
    </xdr:from>
    <xdr:to>
      <xdr:col>6</xdr:col>
      <xdr:colOff>225043</xdr:colOff>
      <xdr:row>37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F6196278-E4BA-4858-B13C-0FEB5318A81E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37</xdr:row>
      <xdr:rowOff>83503</xdr:rowOff>
    </xdr:from>
    <xdr:to>
      <xdr:col>7</xdr:col>
      <xdr:colOff>252903</xdr:colOff>
      <xdr:row>38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B44F63E4-8AE8-4ED4-93BE-9BF9AF99D04F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38</xdr:row>
      <xdr:rowOff>100058</xdr:rowOff>
    </xdr:from>
    <xdr:to>
      <xdr:col>7</xdr:col>
      <xdr:colOff>246300</xdr:colOff>
      <xdr:row>39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D01A9307-3CD3-4EDB-91E5-87A7F0C1BFF7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6</xdr:col>
      <xdr:colOff>240983</xdr:colOff>
      <xdr:row>40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BEA7FCCF-AE0E-4928-8C93-720F6A57B52A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40</xdr:row>
      <xdr:rowOff>106045</xdr:rowOff>
    </xdr:from>
    <xdr:to>
      <xdr:col>8</xdr:col>
      <xdr:colOff>260600</xdr:colOff>
      <xdr:row>41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3697AF0E-E2F9-4DEB-B14E-7E2C6673F53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41</xdr:row>
      <xdr:rowOff>99513</xdr:rowOff>
    </xdr:from>
    <xdr:to>
      <xdr:col>8</xdr:col>
      <xdr:colOff>260600</xdr:colOff>
      <xdr:row>42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E0E754A6-5B3D-4FD3-AC1F-5892B76DB482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42</xdr:row>
      <xdr:rowOff>99442</xdr:rowOff>
    </xdr:from>
    <xdr:to>
      <xdr:col>9</xdr:col>
      <xdr:colOff>222118</xdr:colOff>
      <xdr:row>43</xdr:row>
      <xdr:rowOff>75876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34F21A91-D4A5-435A-97A5-32B07081CC5B}"/>
            </a:ext>
          </a:extLst>
        </xdr:cNvPr>
        <xdr:cNvCxnSpPr>
          <a:cxnSpLocks/>
          <a:stCxn id="42" idx="5"/>
          <a:endCxn id="53" idx="1"/>
        </xdr:cNvCxnSpPr>
      </xdr:nvCxnSpPr>
      <xdr:spPr>
        <a:xfrm>
          <a:off x="4947455" y="8083509"/>
          <a:ext cx="1412996" cy="17116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54</xdr:row>
      <xdr:rowOff>99513</xdr:rowOff>
    </xdr:from>
    <xdr:to>
      <xdr:col>8</xdr:col>
      <xdr:colOff>260600</xdr:colOff>
      <xdr:row>55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B5410ED7-F26B-4C85-9771-F31B451339EF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53</xdr:row>
      <xdr:rowOff>67563</xdr:rowOff>
    </xdr:from>
    <xdr:to>
      <xdr:col>8</xdr:col>
      <xdr:colOff>260600</xdr:colOff>
      <xdr:row>54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521D6A8-EE85-4622-A812-36F06A354825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52</xdr:row>
      <xdr:rowOff>83503</xdr:rowOff>
    </xdr:from>
    <xdr:to>
      <xdr:col>6</xdr:col>
      <xdr:colOff>218440</xdr:colOff>
      <xdr:row>53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3755835E-240F-4B21-A039-CEEEC3EE9A2A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50</xdr:row>
      <xdr:rowOff>67563</xdr:rowOff>
    </xdr:from>
    <xdr:to>
      <xdr:col>8</xdr:col>
      <xdr:colOff>253997</xdr:colOff>
      <xdr:row>51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B5983850-1470-4FF1-90F8-5AFE093399DD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51</xdr:row>
      <xdr:rowOff>122055</xdr:rowOff>
    </xdr:from>
    <xdr:to>
      <xdr:col>8</xdr:col>
      <xdr:colOff>238058</xdr:colOff>
      <xdr:row>52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09BA68E-3626-40F9-A04E-7F9C5A23074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49</xdr:row>
      <xdr:rowOff>83503</xdr:rowOff>
    </xdr:from>
    <xdr:to>
      <xdr:col>6</xdr:col>
      <xdr:colOff>218440</xdr:colOff>
      <xdr:row>50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473D33B9-322C-468F-B078-8640368D221E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263525</xdr:colOff>
      <xdr:row>49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59A1C238-DCB2-42ED-8AF6-D803ACF84ED7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47</xdr:row>
      <xdr:rowOff>83503</xdr:rowOff>
    </xdr:from>
    <xdr:to>
      <xdr:col>6</xdr:col>
      <xdr:colOff>263525</xdr:colOff>
      <xdr:row>48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CB572098-E196-41D3-B895-7C45E48494FD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83503</xdr:rowOff>
    </xdr:from>
    <xdr:to>
      <xdr:col>6</xdr:col>
      <xdr:colOff>263525</xdr:colOff>
      <xdr:row>46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CB46DDF3-6325-4710-8C75-1B386ED15CEF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46</xdr:row>
      <xdr:rowOff>83503</xdr:rowOff>
    </xdr:from>
    <xdr:to>
      <xdr:col>6</xdr:col>
      <xdr:colOff>263525</xdr:colOff>
      <xdr:row>47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AAEFF610-8BCC-4843-B399-3A7B2FBB2D1F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43</xdr:row>
      <xdr:rowOff>114358</xdr:rowOff>
    </xdr:from>
    <xdr:to>
      <xdr:col>9</xdr:col>
      <xdr:colOff>238058</xdr:colOff>
      <xdr:row>44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716009D0-03C5-49E3-9EA7-D70B7DA4C352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44</xdr:row>
      <xdr:rowOff>115452</xdr:rowOff>
    </xdr:from>
    <xdr:to>
      <xdr:col>8</xdr:col>
      <xdr:colOff>222118</xdr:colOff>
      <xdr:row>45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753E2C1F-9288-4E80-8FDA-9AFC7797F04F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107755</xdr:rowOff>
    </xdr:from>
    <xdr:to>
      <xdr:col>9</xdr:col>
      <xdr:colOff>222118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891AA7D4-6484-452F-8DA3-DDB96190DF74}"/>
            </a:ext>
          </a:extLst>
        </xdr:cNvPr>
        <xdr:cNvCxnSpPr>
          <a:stCxn id="17" idx="6"/>
          <a:endCxn id="51" idx="3"/>
        </xdr:cNvCxnSpPr>
      </xdr:nvCxnSpPr>
      <xdr:spPr>
        <a:xfrm flipV="1">
          <a:off x="5919258" y="3223488"/>
          <a:ext cx="441193" cy="1781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215515</xdr:colOff>
      <xdr:row>27</xdr:row>
      <xdr:rowOff>76970</xdr:rowOff>
    </xdr:from>
    <xdr:to>
      <xdr:col>8</xdr:col>
      <xdr:colOff>260600</xdr:colOff>
      <xdr:row>27</xdr:row>
      <xdr:rowOff>122055</xdr:rowOff>
    </xdr:to>
    <xdr:sp macro="" textlink="">
      <xdr:nvSpPr>
        <xdr:cNvPr id="132" name="Elipse 131">
          <a:extLst>
            <a:ext uri="{FF2B5EF4-FFF2-40B4-BE49-F238E27FC236}">
              <a16:creationId xmlns:a16="http://schemas.microsoft.com/office/drawing/2014/main" id="{7A6976C7-60CB-4EFF-87EE-B1DF813002F3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28</xdr:row>
      <xdr:rowOff>76970</xdr:rowOff>
    </xdr:from>
    <xdr:to>
      <xdr:col>6</xdr:col>
      <xdr:colOff>260600</xdr:colOff>
      <xdr:row>28</xdr:row>
      <xdr:rowOff>122055</xdr:rowOff>
    </xdr:to>
    <xdr:sp macro="" textlink="">
      <xdr:nvSpPr>
        <xdr:cNvPr id="133" name="Elipse 132">
          <a:extLst>
            <a:ext uri="{FF2B5EF4-FFF2-40B4-BE49-F238E27FC236}">
              <a16:creationId xmlns:a16="http://schemas.microsoft.com/office/drawing/2014/main" id="{BCDFA995-D9DC-46C2-986A-46369F981946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215515</xdr:colOff>
      <xdr:row>30</xdr:row>
      <xdr:rowOff>76970</xdr:rowOff>
    </xdr:from>
    <xdr:to>
      <xdr:col>6</xdr:col>
      <xdr:colOff>260600</xdr:colOff>
      <xdr:row>30</xdr:row>
      <xdr:rowOff>122055</xdr:rowOff>
    </xdr:to>
    <xdr:sp macro="" textlink="">
      <xdr:nvSpPr>
        <xdr:cNvPr id="134" name="Elipse 133">
          <a:extLst>
            <a:ext uri="{FF2B5EF4-FFF2-40B4-BE49-F238E27FC236}">
              <a16:creationId xmlns:a16="http://schemas.microsoft.com/office/drawing/2014/main" id="{E309C020-D678-4C1A-BAF0-22557ABDE0BE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215515</xdr:colOff>
      <xdr:row>29</xdr:row>
      <xdr:rowOff>76970</xdr:rowOff>
    </xdr:from>
    <xdr:to>
      <xdr:col>5</xdr:col>
      <xdr:colOff>260600</xdr:colOff>
      <xdr:row>29</xdr:row>
      <xdr:rowOff>122055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99B65F82-F805-4A63-B224-3DA3CA070C57}"/>
            </a:ext>
          </a:extLst>
        </xdr:cNvPr>
        <xdr:cNvSpPr/>
      </xdr:nvSpPr>
      <xdr:spPr>
        <a:xfrm>
          <a:off x="5871248" y="57242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238058</xdr:colOff>
      <xdr:row>29</xdr:row>
      <xdr:rowOff>76970</xdr:rowOff>
    </xdr:from>
    <xdr:to>
      <xdr:col>6</xdr:col>
      <xdr:colOff>222118</xdr:colOff>
      <xdr:row>30</xdr:row>
      <xdr:rowOff>83573</xdr:rowOff>
    </xdr:to>
    <xdr:cxnSp macro="">
      <xdr:nvCxnSpPr>
        <xdr:cNvPr id="139" name="Conector recto 138">
          <a:extLst>
            <a:ext uri="{FF2B5EF4-FFF2-40B4-BE49-F238E27FC236}">
              <a16:creationId xmlns:a16="http://schemas.microsoft.com/office/drawing/2014/main" id="{7E3EF50A-7641-DCF1-6B00-95B468A03130}"/>
            </a:ext>
          </a:extLst>
        </xdr:cNvPr>
        <xdr:cNvCxnSpPr>
          <a:stCxn id="135" idx="0"/>
          <a:endCxn id="134" idx="7"/>
        </xdr:cNvCxnSpPr>
      </xdr:nvCxnSpPr>
      <xdr:spPr>
        <a:xfrm>
          <a:off x="4445991" y="5334770"/>
          <a:ext cx="466660" cy="2013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222118</xdr:colOff>
      <xdr:row>28</xdr:row>
      <xdr:rowOff>99513</xdr:rowOff>
    </xdr:from>
    <xdr:to>
      <xdr:col>6</xdr:col>
      <xdr:colOff>260600</xdr:colOff>
      <xdr:row>29</xdr:row>
      <xdr:rowOff>83573</xdr:rowOff>
    </xdr:to>
    <xdr:cxnSp macro="">
      <xdr:nvCxnSpPr>
        <xdr:cNvPr id="141" name="Conector recto 140">
          <a:extLst>
            <a:ext uri="{FF2B5EF4-FFF2-40B4-BE49-F238E27FC236}">
              <a16:creationId xmlns:a16="http://schemas.microsoft.com/office/drawing/2014/main" id="{F87C95A5-9B9B-D013-B5A3-8094CB47E66F}"/>
            </a:ext>
          </a:extLst>
        </xdr:cNvPr>
        <xdr:cNvCxnSpPr>
          <a:stCxn id="133" idx="6"/>
          <a:endCxn id="135" idx="1"/>
        </xdr:cNvCxnSpPr>
      </xdr:nvCxnSpPr>
      <xdr:spPr>
        <a:xfrm flipH="1">
          <a:off x="4430051" y="5162580"/>
          <a:ext cx="521082" cy="17879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253997</xdr:colOff>
      <xdr:row>27</xdr:row>
      <xdr:rowOff>115452</xdr:rowOff>
    </xdr:from>
    <xdr:to>
      <xdr:col>8</xdr:col>
      <xdr:colOff>253997</xdr:colOff>
      <xdr:row>28</xdr:row>
      <xdr:rowOff>83573</xdr:rowOff>
    </xdr:to>
    <xdr:cxnSp macro="">
      <xdr:nvCxnSpPr>
        <xdr:cNvPr id="144" name="Conector recto 143">
          <a:extLst>
            <a:ext uri="{FF2B5EF4-FFF2-40B4-BE49-F238E27FC236}">
              <a16:creationId xmlns:a16="http://schemas.microsoft.com/office/drawing/2014/main" id="{A969DA73-5ED1-D9AB-8DD9-977751926A3C}"/>
            </a:ext>
          </a:extLst>
        </xdr:cNvPr>
        <xdr:cNvCxnSpPr>
          <a:stCxn id="132" idx="5"/>
          <a:endCxn id="133" idx="7"/>
        </xdr:cNvCxnSpPr>
      </xdr:nvCxnSpPr>
      <xdr:spPr>
        <a:xfrm flipH="1">
          <a:off x="4944530" y="4983785"/>
          <a:ext cx="965200" cy="16285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246300</xdr:colOff>
      <xdr:row>26</xdr:row>
      <xdr:rowOff>100058</xdr:rowOff>
    </xdr:from>
    <xdr:to>
      <xdr:col>8</xdr:col>
      <xdr:colOff>253997</xdr:colOff>
      <xdr:row>27</xdr:row>
      <xdr:rowOff>83573</xdr:rowOff>
    </xdr:to>
    <xdr:cxnSp macro="">
      <xdr:nvCxnSpPr>
        <xdr:cNvPr id="146" name="Conector recto 145">
          <a:extLst>
            <a:ext uri="{FF2B5EF4-FFF2-40B4-BE49-F238E27FC236}">
              <a16:creationId xmlns:a16="http://schemas.microsoft.com/office/drawing/2014/main" id="{05B44C53-0436-0B4C-1EC5-C04683E3F233}"/>
            </a:ext>
          </a:extLst>
        </xdr:cNvPr>
        <xdr:cNvCxnSpPr>
          <a:stCxn id="32" idx="5"/>
          <a:endCxn id="132" idx="7"/>
        </xdr:cNvCxnSpPr>
      </xdr:nvCxnSpPr>
      <xdr:spPr>
        <a:xfrm>
          <a:off x="5419433" y="4773658"/>
          <a:ext cx="490297" cy="1782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70A49A47-F291-4615-A8D9-F8C355761A37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225043</xdr:colOff>
      <xdr:row>23</xdr:row>
      <xdr:rowOff>99442</xdr:rowOff>
    </xdr:to>
    <xdr:cxnSp macro="">
      <xdr:nvCxnSpPr>
        <xdr:cNvPr id="153" name="Conector recto 152">
          <a:extLst>
            <a:ext uri="{FF2B5EF4-FFF2-40B4-BE49-F238E27FC236}">
              <a16:creationId xmlns:a16="http://schemas.microsoft.com/office/drawing/2014/main" id="{A06F6C94-F577-447D-82A3-4A126FD879A2}"/>
            </a:ext>
          </a:extLst>
        </xdr:cNvPr>
        <xdr:cNvCxnSpPr>
          <a:endCxn id="152" idx="3"/>
        </xdr:cNvCxnSpPr>
      </xdr:nvCxnSpPr>
      <xdr:spPr>
        <a:xfrm flipV="1">
          <a:off x="4432976" y="4773042"/>
          <a:ext cx="482600" cy="1947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E5BD9D7C-5773-4589-969E-36B1590FF07E}"/>
            </a:ext>
          </a:extLst>
        </xdr:cNvPr>
        <xdr:cNvSpPr/>
      </xdr:nvSpPr>
      <xdr:spPr>
        <a:xfrm>
          <a:off x="4908973" y="4734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225043</xdr:colOff>
      <xdr:row>23</xdr:row>
      <xdr:rowOff>99442</xdr:rowOff>
    </xdr:from>
    <xdr:to>
      <xdr:col>6</xdr:col>
      <xdr:colOff>256922</xdr:colOff>
      <xdr:row>24</xdr:row>
      <xdr:rowOff>67563</xdr:rowOff>
    </xdr:to>
    <xdr:cxnSp macro="">
      <xdr:nvCxnSpPr>
        <xdr:cNvPr id="155" name="Conector recto 154">
          <a:extLst>
            <a:ext uri="{FF2B5EF4-FFF2-40B4-BE49-F238E27FC236}">
              <a16:creationId xmlns:a16="http://schemas.microsoft.com/office/drawing/2014/main" id="{9D2058CE-8AEE-40B1-A76B-F19A6DAB9C06}"/>
            </a:ext>
          </a:extLst>
        </xdr:cNvPr>
        <xdr:cNvCxnSpPr>
          <a:stCxn id="29" idx="7"/>
          <a:endCxn id="154" idx="3"/>
        </xdr:cNvCxnSpPr>
      </xdr:nvCxnSpPr>
      <xdr:spPr>
        <a:xfrm flipH="1" flipV="1">
          <a:off x="4432976" y="4578309"/>
          <a:ext cx="514479" cy="16285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5E410DFC-1E3E-49B2-A0AE-0E0986E2C7A5}"/>
            </a:ext>
          </a:extLst>
        </xdr:cNvPr>
        <xdr:cNvSpPr/>
      </xdr:nvSpPr>
      <xdr:spPr>
        <a:xfrm>
          <a:off x="4397586" y="426797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B3006997-00CB-4906-B732-50B3B5A1DA9E}"/>
            </a:ext>
          </a:extLst>
        </xdr:cNvPr>
        <xdr:cNvSpPr/>
      </xdr:nvSpPr>
      <xdr:spPr>
        <a:xfrm>
          <a:off x="5835073" y="439497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4" name="Diagrama de flujo: combinar 3">
          <a:extLst>
            <a:ext uri="{FF2B5EF4-FFF2-40B4-BE49-F238E27FC236}">
              <a16:creationId xmlns:a16="http://schemas.microsoft.com/office/drawing/2014/main" id="{2CD7A634-5439-4C8B-8126-72FC0F5F50DB}"/>
            </a:ext>
          </a:extLst>
        </xdr:cNvPr>
        <xdr:cNvSpPr/>
      </xdr:nvSpPr>
      <xdr:spPr>
        <a:xfrm>
          <a:off x="6321498" y="424607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5" name="Diagrama de flujo: retraso 4">
          <a:extLst>
            <a:ext uri="{FF2B5EF4-FFF2-40B4-BE49-F238E27FC236}">
              <a16:creationId xmlns:a16="http://schemas.microsoft.com/office/drawing/2014/main" id="{F336E232-5922-499D-B24C-18A07D316A41}"/>
            </a:ext>
          </a:extLst>
        </xdr:cNvPr>
        <xdr:cNvSpPr/>
      </xdr:nvSpPr>
      <xdr:spPr>
        <a:xfrm>
          <a:off x="5347701" y="439497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D16BB9D6-F307-465D-BF5A-1BD53C41BF11}"/>
            </a:ext>
          </a:extLst>
        </xdr:cNvPr>
        <xdr:cNvSpPr/>
      </xdr:nvSpPr>
      <xdr:spPr>
        <a:xfrm>
          <a:off x="4900353" y="442191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BCCDB586-102F-479A-A1A5-D481F3873BE0}"/>
            </a:ext>
          </a:extLst>
        </xdr:cNvPr>
        <xdr:cNvSpPr/>
      </xdr:nvSpPr>
      <xdr:spPr>
        <a:xfrm>
          <a:off x="4897120" y="101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26E91C5E-1E18-4A86-B5D4-422C14A468B0}"/>
            </a:ext>
          </a:extLst>
        </xdr:cNvPr>
        <xdr:cNvSpPr/>
      </xdr:nvSpPr>
      <xdr:spPr>
        <a:xfrm>
          <a:off x="4417060" y="120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0156B6B-E62E-4956-87E3-3AD37C924A1B}"/>
            </a:ext>
          </a:extLst>
        </xdr:cNvPr>
        <xdr:cNvSpPr/>
      </xdr:nvSpPr>
      <xdr:spPr>
        <a:xfrm>
          <a:off x="4897120" y="1402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8E156518-4904-4A6A-BD95-A8861AB7A8E5}"/>
            </a:ext>
          </a:extLst>
        </xdr:cNvPr>
        <xdr:cNvSpPr/>
      </xdr:nvSpPr>
      <xdr:spPr>
        <a:xfrm>
          <a:off x="4417060" y="158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DCF2ADC5-B7BD-43E7-9376-7AA4BAD7C08E}"/>
            </a:ext>
          </a:extLst>
        </xdr:cNvPr>
        <xdr:cNvSpPr/>
      </xdr:nvSpPr>
      <xdr:spPr>
        <a:xfrm>
          <a:off x="4897120" y="177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18310A71-2AF2-450B-BC28-07692D99479F}"/>
            </a:ext>
          </a:extLst>
        </xdr:cNvPr>
        <xdr:cNvSpPr/>
      </xdr:nvSpPr>
      <xdr:spPr>
        <a:xfrm>
          <a:off x="4417060" y="1965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851695B7-6EE0-4E64-A9FA-7DEE3D78E5F6}"/>
            </a:ext>
          </a:extLst>
        </xdr:cNvPr>
        <xdr:cNvSpPr/>
      </xdr:nvSpPr>
      <xdr:spPr>
        <a:xfrm>
          <a:off x="4897120" y="215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59EB9681-E91B-461B-8C47-C12351E72EA2}"/>
            </a:ext>
          </a:extLst>
        </xdr:cNvPr>
        <xdr:cNvSpPr/>
      </xdr:nvSpPr>
      <xdr:spPr>
        <a:xfrm>
          <a:off x="4417060" y="234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60141D95-5C5B-440C-8E42-7C8DB24A5B93}"/>
            </a:ext>
          </a:extLst>
        </xdr:cNvPr>
        <xdr:cNvSpPr/>
      </xdr:nvSpPr>
      <xdr:spPr>
        <a:xfrm>
          <a:off x="4897120" y="253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CBFD3647-101C-4F6F-A2EE-613765394D65}"/>
            </a:ext>
          </a:extLst>
        </xdr:cNvPr>
        <xdr:cNvSpPr/>
      </xdr:nvSpPr>
      <xdr:spPr>
        <a:xfrm>
          <a:off x="4897120" y="291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A2BF73EC-AF57-4CB3-9495-E64B28A1334C}"/>
            </a:ext>
          </a:extLst>
        </xdr:cNvPr>
        <xdr:cNvSpPr/>
      </xdr:nvSpPr>
      <xdr:spPr>
        <a:xfrm>
          <a:off x="5857240" y="330715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5A372BE1-DC10-4407-A3B6-F5A6577244CC}"/>
            </a:ext>
          </a:extLst>
        </xdr:cNvPr>
        <xdr:cNvSpPr/>
      </xdr:nvSpPr>
      <xdr:spPr>
        <a:xfrm>
          <a:off x="4897120" y="348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3ABFC005-3923-4E2F-A629-563C9F0744D4}"/>
            </a:ext>
          </a:extLst>
        </xdr:cNvPr>
        <xdr:cNvSpPr/>
      </xdr:nvSpPr>
      <xdr:spPr>
        <a:xfrm>
          <a:off x="4417060" y="368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AFCF34E5-F32E-411C-83E3-B20C201C3100}"/>
            </a:ext>
          </a:extLst>
        </xdr:cNvPr>
        <xdr:cNvSpPr/>
      </xdr:nvSpPr>
      <xdr:spPr>
        <a:xfrm>
          <a:off x="4897120" y="3870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ED05CCD1-5C97-46F8-8F9E-A459D7042040}"/>
            </a:ext>
          </a:extLst>
        </xdr:cNvPr>
        <xdr:cNvSpPr/>
      </xdr:nvSpPr>
      <xdr:spPr>
        <a:xfrm>
          <a:off x="4417060" y="406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6E749789-2E85-4AD0-807B-909F5A165297}"/>
            </a:ext>
          </a:extLst>
        </xdr:cNvPr>
        <xdr:cNvSpPr/>
      </xdr:nvSpPr>
      <xdr:spPr>
        <a:xfrm>
          <a:off x="4897120" y="425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B1A1CF2E-F955-49A1-BF1F-7AA208244997}"/>
            </a:ext>
          </a:extLst>
        </xdr:cNvPr>
        <xdr:cNvSpPr/>
      </xdr:nvSpPr>
      <xdr:spPr>
        <a:xfrm>
          <a:off x="4417060" y="4442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5001F46-CED7-4CC8-8886-410735AB9389}"/>
            </a:ext>
          </a:extLst>
        </xdr:cNvPr>
        <xdr:cNvSpPr/>
      </xdr:nvSpPr>
      <xdr:spPr>
        <a:xfrm>
          <a:off x="4897120" y="463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C9AEA543-6BF2-4BDA-B196-0E39A149BDB5}"/>
            </a:ext>
          </a:extLst>
        </xdr:cNvPr>
        <xdr:cNvSpPr/>
      </xdr:nvSpPr>
      <xdr:spPr>
        <a:xfrm>
          <a:off x="4417060" y="482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513013F8-FF6B-4635-A5F8-3E7C30BBEFD6}"/>
            </a:ext>
          </a:extLst>
        </xdr:cNvPr>
        <xdr:cNvSpPr/>
      </xdr:nvSpPr>
      <xdr:spPr>
        <a:xfrm>
          <a:off x="5854315" y="5029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C7115C59-E09A-4FAC-9DF0-661D127C5E11}"/>
            </a:ext>
          </a:extLst>
        </xdr:cNvPr>
        <xdr:cNvSpPr/>
      </xdr:nvSpPr>
      <xdr:spPr>
        <a:xfrm>
          <a:off x="5854315" y="2743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EF524A74-43F1-4493-B067-5FFCE60DD567}"/>
            </a:ext>
          </a:extLst>
        </xdr:cNvPr>
        <xdr:cNvSpPr/>
      </xdr:nvSpPr>
      <xdr:spPr>
        <a:xfrm>
          <a:off x="5854315" y="838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D66FA111-DD2A-4FE7-B39A-438ADD6ABEA7}"/>
            </a:ext>
          </a:extLst>
        </xdr:cNvPr>
        <xdr:cNvSpPr/>
      </xdr:nvSpPr>
      <xdr:spPr>
        <a:xfrm>
          <a:off x="4897120" y="520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6FED6918-8E51-4747-9A00-A4809B78DCDC}"/>
            </a:ext>
          </a:extLst>
        </xdr:cNvPr>
        <xdr:cNvSpPr/>
      </xdr:nvSpPr>
      <xdr:spPr>
        <a:xfrm>
          <a:off x="6334375" y="6407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DCA8AA92-AE17-4813-B8AF-FD76438F44B2}"/>
            </a:ext>
          </a:extLst>
        </xdr:cNvPr>
        <xdr:cNvSpPr/>
      </xdr:nvSpPr>
      <xdr:spPr>
        <a:xfrm>
          <a:off x="4417060" y="539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3EF2A2A8-445C-496E-ABC7-B817E07B1D31}"/>
            </a:ext>
          </a:extLst>
        </xdr:cNvPr>
        <xdr:cNvSpPr/>
      </xdr:nvSpPr>
      <xdr:spPr>
        <a:xfrm>
          <a:off x="5366558" y="5586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09DDA7B5-F5B4-4699-A027-F43829E5F844}"/>
            </a:ext>
          </a:extLst>
        </xdr:cNvPr>
        <xdr:cNvSpPr/>
      </xdr:nvSpPr>
      <xdr:spPr>
        <a:xfrm>
          <a:off x="5854315" y="579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34" name="Elipse 33">
          <a:extLst>
            <a:ext uri="{FF2B5EF4-FFF2-40B4-BE49-F238E27FC236}">
              <a16:creationId xmlns:a16="http://schemas.microsoft.com/office/drawing/2014/main" id="{304FACFA-B83B-45FA-9595-1A91A4993AA7}"/>
            </a:ext>
          </a:extLst>
        </xdr:cNvPr>
        <xdr:cNvSpPr/>
      </xdr:nvSpPr>
      <xdr:spPr>
        <a:xfrm>
          <a:off x="4897120" y="596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5680B3DC-217F-4CA9-9361-EE7E794D323B}"/>
            </a:ext>
          </a:extLst>
        </xdr:cNvPr>
        <xdr:cNvSpPr/>
      </xdr:nvSpPr>
      <xdr:spPr>
        <a:xfrm>
          <a:off x="4897120" y="6347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D845D28E-9ADF-4F9A-BB5F-3DC5AC35BB26}"/>
            </a:ext>
          </a:extLst>
        </xdr:cNvPr>
        <xdr:cNvSpPr/>
      </xdr:nvSpPr>
      <xdr:spPr>
        <a:xfrm>
          <a:off x="4417060" y="653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36EB22A7-0379-4E9F-95CD-A75E8D982EAB}"/>
            </a:ext>
          </a:extLst>
        </xdr:cNvPr>
        <xdr:cNvSpPr/>
      </xdr:nvSpPr>
      <xdr:spPr>
        <a:xfrm>
          <a:off x="4897120" y="672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751A6A9F-64FE-4750-AF85-53B6B02BF0E8}"/>
            </a:ext>
          </a:extLst>
        </xdr:cNvPr>
        <xdr:cNvSpPr/>
      </xdr:nvSpPr>
      <xdr:spPr>
        <a:xfrm>
          <a:off x="4417060" y="691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8DA9CB1F-D971-456E-B8B5-BBF8E0824DFC}"/>
            </a:ext>
          </a:extLst>
        </xdr:cNvPr>
        <xdr:cNvSpPr/>
      </xdr:nvSpPr>
      <xdr:spPr>
        <a:xfrm>
          <a:off x="5366558" y="711007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74F84B9A-7BDB-45D2-AF0D-55B342EC60B4}"/>
            </a:ext>
          </a:extLst>
        </xdr:cNvPr>
        <xdr:cNvSpPr/>
      </xdr:nvSpPr>
      <xdr:spPr>
        <a:xfrm>
          <a:off x="4897120" y="729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77EFEF7E-74B9-4DA8-8159-D54564FBDD89}"/>
            </a:ext>
          </a:extLst>
        </xdr:cNvPr>
        <xdr:cNvSpPr/>
      </xdr:nvSpPr>
      <xdr:spPr>
        <a:xfrm>
          <a:off x="4417060" y="749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8F0AA05D-A12C-4DD1-BEE4-BF4F4E50FE95}"/>
            </a:ext>
          </a:extLst>
        </xdr:cNvPr>
        <xdr:cNvSpPr/>
      </xdr:nvSpPr>
      <xdr:spPr>
        <a:xfrm>
          <a:off x="4897120" y="787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C1DF5256-2560-41FC-AEEA-A1CE1D34376A}"/>
            </a:ext>
          </a:extLst>
        </xdr:cNvPr>
        <xdr:cNvSpPr/>
      </xdr:nvSpPr>
      <xdr:spPr>
        <a:xfrm>
          <a:off x="4897120" y="844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D4B4F649-E825-47B2-A6D3-9BA9EF1551CE}"/>
            </a:ext>
          </a:extLst>
        </xdr:cNvPr>
        <xdr:cNvSpPr/>
      </xdr:nvSpPr>
      <xdr:spPr>
        <a:xfrm>
          <a:off x="4417060" y="8633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E2D13A72-2795-4246-8FCF-FA3378BB94F6}"/>
            </a:ext>
          </a:extLst>
        </xdr:cNvPr>
        <xdr:cNvSpPr/>
      </xdr:nvSpPr>
      <xdr:spPr>
        <a:xfrm>
          <a:off x="4897120" y="8823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DE2002D3-29BD-4D10-B8AA-84757FA92004}"/>
            </a:ext>
          </a:extLst>
        </xdr:cNvPr>
        <xdr:cNvSpPr/>
      </xdr:nvSpPr>
      <xdr:spPr>
        <a:xfrm>
          <a:off x="4417060" y="9014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BF55D1A7-6F89-43C8-AC67-3AB602E402EB}"/>
            </a:ext>
          </a:extLst>
        </xdr:cNvPr>
        <xdr:cNvSpPr/>
      </xdr:nvSpPr>
      <xdr:spPr>
        <a:xfrm>
          <a:off x="4897120" y="9204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A8752BA8-1788-44DD-ADDD-7178F3E1B48F}"/>
            </a:ext>
          </a:extLst>
        </xdr:cNvPr>
        <xdr:cNvSpPr/>
      </xdr:nvSpPr>
      <xdr:spPr>
        <a:xfrm>
          <a:off x="4417060" y="9395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89DAE3A5-3926-420B-A9FB-4AC5EC08F977}"/>
            </a:ext>
          </a:extLst>
        </xdr:cNvPr>
        <xdr:cNvSpPr/>
      </xdr:nvSpPr>
      <xdr:spPr>
        <a:xfrm>
          <a:off x="4897120" y="9776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50" name="Elipse 49">
          <a:extLst>
            <a:ext uri="{FF2B5EF4-FFF2-40B4-BE49-F238E27FC236}">
              <a16:creationId xmlns:a16="http://schemas.microsoft.com/office/drawing/2014/main" id="{2AEA5ECF-3E83-4092-AD73-A60EA436762F}"/>
            </a:ext>
          </a:extLst>
        </xdr:cNvPr>
        <xdr:cNvSpPr/>
      </xdr:nvSpPr>
      <xdr:spPr>
        <a:xfrm>
          <a:off x="6334375" y="616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51" name="Elipse 50">
          <a:extLst>
            <a:ext uri="{FF2B5EF4-FFF2-40B4-BE49-F238E27FC236}">
              <a16:creationId xmlns:a16="http://schemas.microsoft.com/office/drawing/2014/main" id="{0CC8ACC9-2172-4764-85C6-F0006330C055}"/>
            </a:ext>
          </a:extLst>
        </xdr:cNvPr>
        <xdr:cNvSpPr/>
      </xdr:nvSpPr>
      <xdr:spPr>
        <a:xfrm>
          <a:off x="6334375" y="3117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583E916E-7C68-40E7-88A4-0FC293497214}"/>
            </a:ext>
          </a:extLst>
        </xdr:cNvPr>
        <xdr:cNvSpPr/>
      </xdr:nvSpPr>
      <xdr:spPr>
        <a:xfrm>
          <a:off x="6334375" y="8070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53" name="Elipse 52">
          <a:extLst>
            <a:ext uri="{FF2B5EF4-FFF2-40B4-BE49-F238E27FC236}">
              <a16:creationId xmlns:a16="http://schemas.microsoft.com/office/drawing/2014/main" id="{EFCDDCB6-0F9B-43C4-A413-1A879DCEE472}"/>
            </a:ext>
          </a:extLst>
        </xdr:cNvPr>
        <xdr:cNvSpPr/>
      </xdr:nvSpPr>
      <xdr:spPr>
        <a:xfrm>
          <a:off x="6334375" y="9975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54" name="Elipse 53">
          <a:extLst>
            <a:ext uri="{FF2B5EF4-FFF2-40B4-BE49-F238E27FC236}">
              <a16:creationId xmlns:a16="http://schemas.microsoft.com/office/drawing/2014/main" id="{10E0FDBB-CADE-4CFD-AC46-500F43CA8CB2}"/>
            </a:ext>
          </a:extLst>
        </xdr:cNvPr>
        <xdr:cNvSpPr/>
      </xdr:nvSpPr>
      <xdr:spPr>
        <a:xfrm>
          <a:off x="4897120" y="10347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4C911A7F-F8D6-450C-BE46-8A1D3139EEA5}"/>
            </a:ext>
          </a:extLst>
        </xdr:cNvPr>
        <xdr:cNvSpPr/>
      </xdr:nvSpPr>
      <xdr:spPr>
        <a:xfrm>
          <a:off x="4417060" y="10538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56" name="Elipse 55">
          <a:extLst>
            <a:ext uri="{FF2B5EF4-FFF2-40B4-BE49-F238E27FC236}">
              <a16:creationId xmlns:a16="http://schemas.microsoft.com/office/drawing/2014/main" id="{74C96431-C587-4BD6-86B5-5F207BD7C524}"/>
            </a:ext>
          </a:extLst>
        </xdr:cNvPr>
        <xdr:cNvSpPr/>
      </xdr:nvSpPr>
      <xdr:spPr>
        <a:xfrm>
          <a:off x="4897120" y="10728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15821921-64E3-474F-B8AD-DD81C3319C1A}"/>
            </a:ext>
          </a:extLst>
        </xdr:cNvPr>
        <xdr:cNvSpPr/>
      </xdr:nvSpPr>
      <xdr:spPr>
        <a:xfrm>
          <a:off x="4417060" y="10919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58" name="Elipse 57">
          <a:extLst>
            <a:ext uri="{FF2B5EF4-FFF2-40B4-BE49-F238E27FC236}">
              <a16:creationId xmlns:a16="http://schemas.microsoft.com/office/drawing/2014/main" id="{C141735D-3583-46D4-B8A9-0BA86DB8391C}"/>
            </a:ext>
          </a:extLst>
        </xdr:cNvPr>
        <xdr:cNvSpPr/>
      </xdr:nvSpPr>
      <xdr:spPr>
        <a:xfrm>
          <a:off x="4897120" y="11109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59" name="Elipse 58">
          <a:extLst>
            <a:ext uri="{FF2B5EF4-FFF2-40B4-BE49-F238E27FC236}">
              <a16:creationId xmlns:a16="http://schemas.microsoft.com/office/drawing/2014/main" id="{05FCC201-C89C-4912-ADCA-539A5330247E}"/>
            </a:ext>
          </a:extLst>
        </xdr:cNvPr>
        <xdr:cNvSpPr/>
      </xdr:nvSpPr>
      <xdr:spPr>
        <a:xfrm>
          <a:off x="4417060" y="11300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92F4147C-E89C-49F2-8E1B-B247AB723C18}"/>
            </a:ext>
          </a:extLst>
        </xdr:cNvPr>
        <xdr:cNvSpPr/>
      </xdr:nvSpPr>
      <xdr:spPr>
        <a:xfrm>
          <a:off x="4897120" y="116814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61" name="Elipse 60">
          <a:extLst>
            <a:ext uri="{FF2B5EF4-FFF2-40B4-BE49-F238E27FC236}">
              <a16:creationId xmlns:a16="http://schemas.microsoft.com/office/drawing/2014/main" id="{015BE745-720E-4E03-8015-B1A60DD091A5}"/>
            </a:ext>
          </a:extLst>
        </xdr:cNvPr>
        <xdr:cNvSpPr/>
      </xdr:nvSpPr>
      <xdr:spPr>
        <a:xfrm>
          <a:off x="4417060" y="11871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62" name="Elipse 61">
          <a:extLst>
            <a:ext uri="{FF2B5EF4-FFF2-40B4-BE49-F238E27FC236}">
              <a16:creationId xmlns:a16="http://schemas.microsoft.com/office/drawing/2014/main" id="{4787C209-25A3-4FAA-BF07-F9A58D3F4559}"/>
            </a:ext>
          </a:extLst>
        </xdr:cNvPr>
        <xdr:cNvSpPr/>
      </xdr:nvSpPr>
      <xdr:spPr>
        <a:xfrm>
          <a:off x="4897120" y="12252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63" name="Elipse 62">
          <a:extLst>
            <a:ext uri="{FF2B5EF4-FFF2-40B4-BE49-F238E27FC236}">
              <a16:creationId xmlns:a16="http://schemas.microsoft.com/office/drawing/2014/main" id="{AB86F25B-E471-4A6D-A01F-51F5377DE22E}"/>
            </a:ext>
          </a:extLst>
        </xdr:cNvPr>
        <xdr:cNvSpPr/>
      </xdr:nvSpPr>
      <xdr:spPr>
        <a:xfrm>
          <a:off x="5854315" y="769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64" name="Elipse 63">
          <a:extLst>
            <a:ext uri="{FF2B5EF4-FFF2-40B4-BE49-F238E27FC236}">
              <a16:creationId xmlns:a16="http://schemas.microsoft.com/office/drawing/2014/main" id="{B23FF375-207D-4BA4-8CCE-F831F6526F69}"/>
            </a:ext>
          </a:extLst>
        </xdr:cNvPr>
        <xdr:cNvSpPr/>
      </xdr:nvSpPr>
      <xdr:spPr>
        <a:xfrm>
          <a:off x="5854315" y="826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65" name="Elipse 64">
          <a:extLst>
            <a:ext uri="{FF2B5EF4-FFF2-40B4-BE49-F238E27FC236}">
              <a16:creationId xmlns:a16="http://schemas.microsoft.com/office/drawing/2014/main" id="{0E70AE5E-391C-465F-AACD-36E6D4B4BFB8}"/>
            </a:ext>
          </a:extLst>
        </xdr:cNvPr>
        <xdr:cNvSpPr/>
      </xdr:nvSpPr>
      <xdr:spPr>
        <a:xfrm>
          <a:off x="5854315" y="9601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CE03EA8F-AEE6-44D6-982A-4F7AF156C9FF}"/>
            </a:ext>
          </a:extLst>
        </xdr:cNvPr>
        <xdr:cNvSpPr/>
      </xdr:nvSpPr>
      <xdr:spPr>
        <a:xfrm>
          <a:off x="5854315" y="10173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67" name="Elipse 66">
          <a:extLst>
            <a:ext uri="{FF2B5EF4-FFF2-40B4-BE49-F238E27FC236}">
              <a16:creationId xmlns:a16="http://schemas.microsoft.com/office/drawing/2014/main" id="{9123F87A-7FF6-4136-8DFC-351DCFE30F0B}"/>
            </a:ext>
          </a:extLst>
        </xdr:cNvPr>
        <xdr:cNvSpPr/>
      </xdr:nvSpPr>
      <xdr:spPr>
        <a:xfrm>
          <a:off x="5854315" y="115069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830FE71E-3AB4-403C-9214-2EACDBEFD40E}"/>
            </a:ext>
          </a:extLst>
        </xdr:cNvPr>
        <xdr:cNvSpPr/>
      </xdr:nvSpPr>
      <xdr:spPr>
        <a:xfrm>
          <a:off x="5854315" y="1207847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F3430825-1D2A-46AF-8EC7-76B1527CB37D}"/>
            </a:ext>
          </a:extLst>
        </xdr:cNvPr>
        <xdr:cNvCxnSpPr>
          <a:stCxn id="30" idx="7"/>
          <a:endCxn id="28" idx="7"/>
        </xdr:cNvCxnSpPr>
      </xdr:nvCxnSpPr>
      <xdr:spPr>
        <a:xfrm flipH="1">
          <a:off x="5892797" y="647376"/>
          <a:ext cx="480060" cy="1981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70" name="Conector recto 69">
          <a:extLst>
            <a:ext uri="{FF2B5EF4-FFF2-40B4-BE49-F238E27FC236}">
              <a16:creationId xmlns:a16="http://schemas.microsoft.com/office/drawing/2014/main" id="{36BA87BB-1F09-4FAC-B2D2-1AB966422123}"/>
            </a:ext>
          </a:extLst>
        </xdr:cNvPr>
        <xdr:cNvCxnSpPr>
          <a:stCxn id="7" idx="7"/>
          <a:endCxn id="28" idx="2"/>
        </xdr:cNvCxnSpPr>
      </xdr:nvCxnSpPr>
      <xdr:spPr>
        <a:xfrm flipV="1">
          <a:off x="4935602" y="861513"/>
          <a:ext cx="918713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8F7164F2-5F3B-4AC3-85D2-B9B89261F561}"/>
            </a:ext>
          </a:extLst>
        </xdr:cNvPr>
        <xdr:cNvCxnSpPr>
          <a:stCxn id="8" idx="7"/>
          <a:endCxn id="7" idx="6"/>
        </xdr:cNvCxnSpPr>
      </xdr:nvCxnSpPr>
      <xdr:spPr>
        <a:xfrm flipV="1">
          <a:off x="4455542" y="10360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72" name="Conector recto 71">
          <a:extLst>
            <a:ext uri="{FF2B5EF4-FFF2-40B4-BE49-F238E27FC236}">
              <a16:creationId xmlns:a16="http://schemas.microsoft.com/office/drawing/2014/main" id="{1CCE499A-9A18-45D2-BC68-E2AC65948261}"/>
            </a:ext>
          </a:extLst>
        </xdr:cNvPr>
        <xdr:cNvCxnSpPr>
          <a:stCxn id="9" idx="6"/>
          <a:endCxn id="8" idx="5"/>
        </xdr:cNvCxnSpPr>
      </xdr:nvCxnSpPr>
      <xdr:spPr>
        <a:xfrm flipH="1" flipV="1">
          <a:off x="4455542" y="1242442"/>
          <a:ext cx="486663" cy="1822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73" name="Conector recto 72">
          <a:extLst>
            <a:ext uri="{FF2B5EF4-FFF2-40B4-BE49-F238E27FC236}">
              <a16:creationId xmlns:a16="http://schemas.microsoft.com/office/drawing/2014/main" id="{230E1ECD-B88E-4BF9-B88C-44F201EBB474}"/>
            </a:ext>
          </a:extLst>
        </xdr:cNvPr>
        <xdr:cNvCxnSpPr>
          <a:stCxn id="10" idx="0"/>
          <a:endCxn id="9" idx="4"/>
        </xdr:cNvCxnSpPr>
      </xdr:nvCxnSpPr>
      <xdr:spPr>
        <a:xfrm flipV="1">
          <a:off x="4439603" y="1447242"/>
          <a:ext cx="480060" cy="1377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74" name="Conector recto 73">
          <a:extLst>
            <a:ext uri="{FF2B5EF4-FFF2-40B4-BE49-F238E27FC236}">
              <a16:creationId xmlns:a16="http://schemas.microsoft.com/office/drawing/2014/main" id="{DD69F0F4-C706-411F-95A5-1B3FA76AEACA}"/>
            </a:ext>
          </a:extLst>
        </xdr:cNvPr>
        <xdr:cNvCxnSpPr>
          <a:stCxn id="11" idx="7"/>
          <a:endCxn id="10" idx="6"/>
        </xdr:cNvCxnSpPr>
      </xdr:nvCxnSpPr>
      <xdr:spPr>
        <a:xfrm flipH="1" flipV="1">
          <a:off x="4462145" y="1607503"/>
          <a:ext cx="473457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75" name="Conector recto 74">
          <a:extLst>
            <a:ext uri="{FF2B5EF4-FFF2-40B4-BE49-F238E27FC236}">
              <a16:creationId xmlns:a16="http://schemas.microsoft.com/office/drawing/2014/main" id="{CFF7C89D-0890-4B9B-BF4E-123B083EABAF}"/>
            </a:ext>
          </a:extLst>
        </xdr:cNvPr>
        <xdr:cNvCxnSpPr>
          <a:stCxn id="12" idx="7"/>
          <a:endCxn id="11" idx="5"/>
        </xdr:cNvCxnSpPr>
      </xdr:nvCxnSpPr>
      <xdr:spPr>
        <a:xfrm flipV="1">
          <a:off x="4455542" y="1813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76" name="Conector recto 75">
          <a:extLst>
            <a:ext uri="{FF2B5EF4-FFF2-40B4-BE49-F238E27FC236}">
              <a16:creationId xmlns:a16="http://schemas.microsoft.com/office/drawing/2014/main" id="{F0C598BE-168F-4BDD-82D0-E03C80BEF777}"/>
            </a:ext>
          </a:extLst>
        </xdr:cNvPr>
        <xdr:cNvCxnSpPr>
          <a:stCxn id="13" idx="0"/>
          <a:endCxn id="12" idx="6"/>
        </xdr:cNvCxnSpPr>
      </xdr:nvCxnSpPr>
      <xdr:spPr>
        <a:xfrm flipH="1" flipV="1">
          <a:off x="4455542" y="1972563"/>
          <a:ext cx="464121" cy="18389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77" name="Conector recto 76">
          <a:extLst>
            <a:ext uri="{FF2B5EF4-FFF2-40B4-BE49-F238E27FC236}">
              <a16:creationId xmlns:a16="http://schemas.microsoft.com/office/drawing/2014/main" id="{30A71706-B958-4515-A81E-5C89D24168FF}"/>
            </a:ext>
          </a:extLst>
        </xdr:cNvPr>
        <xdr:cNvCxnSpPr>
          <a:stCxn id="14" idx="5"/>
          <a:endCxn id="13" idx="4"/>
        </xdr:cNvCxnSpPr>
      </xdr:nvCxnSpPr>
      <xdr:spPr>
        <a:xfrm flipV="1">
          <a:off x="4455542" y="2201545"/>
          <a:ext cx="464121" cy="183897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78" name="Conector recto 77">
          <a:extLst>
            <a:ext uri="{FF2B5EF4-FFF2-40B4-BE49-F238E27FC236}">
              <a16:creationId xmlns:a16="http://schemas.microsoft.com/office/drawing/2014/main" id="{BD943F80-B3F4-41BC-87D9-92AF212154FB}"/>
            </a:ext>
          </a:extLst>
        </xdr:cNvPr>
        <xdr:cNvCxnSpPr>
          <a:stCxn id="15" idx="1"/>
          <a:endCxn id="14" idx="5"/>
        </xdr:cNvCxnSpPr>
      </xdr:nvCxnSpPr>
      <xdr:spPr>
        <a:xfrm flipH="1" flipV="1">
          <a:off x="4455542" y="2385442"/>
          <a:ext cx="448181" cy="158621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79" name="Conector recto 78">
          <a:extLst>
            <a:ext uri="{FF2B5EF4-FFF2-40B4-BE49-F238E27FC236}">
              <a16:creationId xmlns:a16="http://schemas.microsoft.com/office/drawing/2014/main" id="{539F1C25-D5F9-4187-B1A3-0804385FF61A}"/>
            </a:ext>
          </a:extLst>
        </xdr:cNvPr>
        <xdr:cNvCxnSpPr>
          <a:stCxn id="16" idx="6"/>
          <a:endCxn id="27" idx="6"/>
        </xdr:cNvCxnSpPr>
      </xdr:nvCxnSpPr>
      <xdr:spPr>
        <a:xfrm flipV="1">
          <a:off x="4942205" y="27665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80" name="Conector recto 79">
          <a:extLst>
            <a:ext uri="{FF2B5EF4-FFF2-40B4-BE49-F238E27FC236}">
              <a16:creationId xmlns:a16="http://schemas.microsoft.com/office/drawing/2014/main" id="{F838A611-4AC9-4A0D-AE6A-5B2AACCC6A8F}"/>
            </a:ext>
          </a:extLst>
        </xdr:cNvPr>
        <xdr:cNvCxnSpPr>
          <a:stCxn id="15" idx="6"/>
          <a:endCxn id="27" idx="5"/>
        </xdr:cNvCxnSpPr>
      </xdr:nvCxnSpPr>
      <xdr:spPr>
        <a:xfrm>
          <a:off x="4942205" y="2560003"/>
          <a:ext cx="950592" cy="2224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81" name="Conector recto 80">
          <a:extLst>
            <a:ext uri="{FF2B5EF4-FFF2-40B4-BE49-F238E27FC236}">
              <a16:creationId xmlns:a16="http://schemas.microsoft.com/office/drawing/2014/main" id="{9FE5C421-8ADD-494E-BA46-4861B0C8E6CF}"/>
            </a:ext>
          </a:extLst>
        </xdr:cNvPr>
        <xdr:cNvCxnSpPr>
          <a:stCxn id="51" idx="5"/>
          <a:endCxn id="16" idx="5"/>
        </xdr:cNvCxnSpPr>
      </xdr:nvCxnSpPr>
      <xdr:spPr>
        <a:xfrm flipH="1" flipV="1">
          <a:off x="4942205" y="2941003"/>
          <a:ext cx="1430652" cy="2147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82" name="Conector recto 81">
          <a:extLst>
            <a:ext uri="{FF2B5EF4-FFF2-40B4-BE49-F238E27FC236}">
              <a16:creationId xmlns:a16="http://schemas.microsoft.com/office/drawing/2014/main" id="{6996615C-3809-405A-84E2-5F9E4C06232D}"/>
            </a:ext>
          </a:extLst>
        </xdr:cNvPr>
        <xdr:cNvCxnSpPr>
          <a:stCxn id="18" idx="3"/>
          <a:endCxn id="17" idx="2"/>
        </xdr:cNvCxnSpPr>
      </xdr:nvCxnSpPr>
      <xdr:spPr>
        <a:xfrm flipV="1">
          <a:off x="4903723" y="3329700"/>
          <a:ext cx="953517" cy="1987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83" name="Conector recto 82">
          <a:extLst>
            <a:ext uri="{FF2B5EF4-FFF2-40B4-BE49-F238E27FC236}">
              <a16:creationId xmlns:a16="http://schemas.microsoft.com/office/drawing/2014/main" id="{B33CECF7-915E-43A1-969C-8542BE660B7A}"/>
            </a:ext>
          </a:extLst>
        </xdr:cNvPr>
        <xdr:cNvCxnSpPr>
          <a:stCxn id="19" idx="7"/>
          <a:endCxn id="18" idx="3"/>
        </xdr:cNvCxnSpPr>
      </xdr:nvCxnSpPr>
      <xdr:spPr>
        <a:xfrm flipV="1">
          <a:off x="4455542" y="3528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84" name="Conector recto 83">
          <a:extLst>
            <a:ext uri="{FF2B5EF4-FFF2-40B4-BE49-F238E27FC236}">
              <a16:creationId xmlns:a16="http://schemas.microsoft.com/office/drawing/2014/main" id="{4BA5D818-A6B8-4ADA-B6E4-E7C443800E71}"/>
            </a:ext>
          </a:extLst>
        </xdr:cNvPr>
        <xdr:cNvCxnSpPr>
          <a:stCxn id="20" idx="1"/>
          <a:endCxn id="19" idx="4"/>
        </xdr:cNvCxnSpPr>
      </xdr:nvCxnSpPr>
      <xdr:spPr>
        <a:xfrm flipH="1" flipV="1">
          <a:off x="4439603" y="3725545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85" name="Conector recto 84">
          <a:extLst>
            <a:ext uri="{FF2B5EF4-FFF2-40B4-BE49-F238E27FC236}">
              <a16:creationId xmlns:a16="http://schemas.microsoft.com/office/drawing/2014/main" id="{F60E8013-5217-415D-82EB-0AC7566C5A28}"/>
            </a:ext>
          </a:extLst>
        </xdr:cNvPr>
        <xdr:cNvCxnSpPr>
          <a:stCxn id="22" idx="4"/>
          <a:endCxn id="21" idx="1"/>
        </xdr:cNvCxnSpPr>
      </xdr:nvCxnSpPr>
      <xdr:spPr>
        <a:xfrm flipH="1" flipV="1">
          <a:off x="4423663" y="4068063"/>
          <a:ext cx="496000" cy="2289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86" name="Conector recto 85">
          <a:extLst>
            <a:ext uri="{FF2B5EF4-FFF2-40B4-BE49-F238E27FC236}">
              <a16:creationId xmlns:a16="http://schemas.microsoft.com/office/drawing/2014/main" id="{647F193F-64C0-46AF-B3FC-38C9D178F8F9}"/>
            </a:ext>
          </a:extLst>
        </xdr:cNvPr>
        <xdr:cNvCxnSpPr>
          <a:stCxn id="20" idx="5"/>
          <a:endCxn id="21" idx="7"/>
        </xdr:cNvCxnSpPr>
      </xdr:nvCxnSpPr>
      <xdr:spPr>
        <a:xfrm flipH="1">
          <a:off x="4455542" y="39094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87" name="Conector recto 86">
          <a:extLst>
            <a:ext uri="{FF2B5EF4-FFF2-40B4-BE49-F238E27FC236}">
              <a16:creationId xmlns:a16="http://schemas.microsoft.com/office/drawing/2014/main" id="{2073C9A0-DC16-48F7-9176-F9541D03AA95}"/>
            </a:ext>
          </a:extLst>
        </xdr:cNvPr>
        <xdr:cNvCxnSpPr>
          <a:stCxn id="24" idx="5"/>
          <a:endCxn id="23" idx="2"/>
        </xdr:cNvCxnSpPr>
      </xdr:nvCxnSpPr>
      <xdr:spPr>
        <a:xfrm flipH="1" flipV="1">
          <a:off x="4417060" y="4465003"/>
          <a:ext cx="518542" cy="2064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88" name="Conector recto 87">
          <a:extLst>
            <a:ext uri="{FF2B5EF4-FFF2-40B4-BE49-F238E27FC236}">
              <a16:creationId xmlns:a16="http://schemas.microsoft.com/office/drawing/2014/main" id="{0446829E-5898-4092-8A22-A3C5B6019EAF}"/>
            </a:ext>
          </a:extLst>
        </xdr:cNvPr>
        <xdr:cNvCxnSpPr>
          <a:stCxn id="22" idx="5"/>
          <a:endCxn id="23" idx="3"/>
        </xdr:cNvCxnSpPr>
      </xdr:nvCxnSpPr>
      <xdr:spPr>
        <a:xfrm flipH="1">
          <a:off x="4423663" y="4290442"/>
          <a:ext cx="511939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89" name="Conector recto 88">
          <a:extLst>
            <a:ext uri="{FF2B5EF4-FFF2-40B4-BE49-F238E27FC236}">
              <a16:creationId xmlns:a16="http://schemas.microsoft.com/office/drawing/2014/main" id="{51194B45-69E4-424C-BCB4-55BE8F752795}"/>
            </a:ext>
          </a:extLst>
        </xdr:cNvPr>
        <xdr:cNvCxnSpPr>
          <a:stCxn id="25" idx="5"/>
          <a:endCxn id="24" idx="2"/>
        </xdr:cNvCxnSpPr>
      </xdr:nvCxnSpPr>
      <xdr:spPr>
        <a:xfrm flipV="1">
          <a:off x="4455542" y="4655503"/>
          <a:ext cx="441578" cy="2064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90" name="Conector recto 89">
          <a:extLst>
            <a:ext uri="{FF2B5EF4-FFF2-40B4-BE49-F238E27FC236}">
              <a16:creationId xmlns:a16="http://schemas.microsoft.com/office/drawing/2014/main" id="{FBBCE6E3-E8AA-438B-975D-749E69F4410B}"/>
            </a:ext>
          </a:extLst>
        </xdr:cNvPr>
        <xdr:cNvCxnSpPr>
          <a:stCxn id="25" idx="6"/>
          <a:endCxn id="26" idx="4"/>
        </xdr:cNvCxnSpPr>
      </xdr:nvCxnSpPr>
      <xdr:spPr>
        <a:xfrm>
          <a:off x="4462145" y="4846003"/>
          <a:ext cx="1414713" cy="2290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91" name="Conector recto 90">
          <a:extLst>
            <a:ext uri="{FF2B5EF4-FFF2-40B4-BE49-F238E27FC236}">
              <a16:creationId xmlns:a16="http://schemas.microsoft.com/office/drawing/2014/main" id="{8C4575F4-6AFD-47C7-9E74-A8A0ADC45875}"/>
            </a:ext>
          </a:extLst>
        </xdr:cNvPr>
        <xdr:cNvCxnSpPr>
          <a:stCxn id="29" idx="7"/>
          <a:endCxn id="26" idx="6"/>
        </xdr:cNvCxnSpPr>
      </xdr:nvCxnSpPr>
      <xdr:spPr>
        <a:xfrm flipV="1">
          <a:off x="4935602" y="5052513"/>
          <a:ext cx="963798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92" name="Conector recto 91">
          <a:extLst>
            <a:ext uri="{FF2B5EF4-FFF2-40B4-BE49-F238E27FC236}">
              <a16:creationId xmlns:a16="http://schemas.microsoft.com/office/drawing/2014/main" id="{44D03CC8-AA86-4422-A120-CE51FD0A6116}"/>
            </a:ext>
          </a:extLst>
        </xdr:cNvPr>
        <xdr:cNvCxnSpPr>
          <a:stCxn id="31" idx="3"/>
          <a:endCxn id="29" idx="3"/>
        </xdr:cNvCxnSpPr>
      </xdr:nvCxnSpPr>
      <xdr:spPr>
        <a:xfrm flipV="1">
          <a:off x="4423663" y="5242942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93" name="Conector recto 92">
          <a:extLst>
            <a:ext uri="{FF2B5EF4-FFF2-40B4-BE49-F238E27FC236}">
              <a16:creationId xmlns:a16="http://schemas.microsoft.com/office/drawing/2014/main" id="{E9858FDD-01DA-43A6-9505-B2DE4CD0C697}"/>
            </a:ext>
          </a:extLst>
        </xdr:cNvPr>
        <xdr:cNvCxnSpPr>
          <a:stCxn id="32" idx="6"/>
          <a:endCxn id="31" idx="5"/>
        </xdr:cNvCxnSpPr>
      </xdr:nvCxnSpPr>
      <xdr:spPr>
        <a:xfrm flipH="1" flipV="1">
          <a:off x="4462145" y="5417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94" name="Conector recto 93">
          <a:extLst>
            <a:ext uri="{FF2B5EF4-FFF2-40B4-BE49-F238E27FC236}">
              <a16:creationId xmlns:a16="http://schemas.microsoft.com/office/drawing/2014/main" id="{D264F037-6B9C-44A1-8BBA-05ACF2A78840}"/>
            </a:ext>
          </a:extLst>
        </xdr:cNvPr>
        <xdr:cNvCxnSpPr>
          <a:stCxn id="33" idx="6"/>
          <a:endCxn id="32" idx="6"/>
        </xdr:cNvCxnSpPr>
      </xdr:nvCxnSpPr>
      <xdr:spPr>
        <a:xfrm flipH="1" flipV="1">
          <a:off x="5411643" y="5608619"/>
          <a:ext cx="487757" cy="20589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95" name="Conector recto 94">
          <a:extLst>
            <a:ext uri="{FF2B5EF4-FFF2-40B4-BE49-F238E27FC236}">
              <a16:creationId xmlns:a16="http://schemas.microsoft.com/office/drawing/2014/main" id="{A13AF61E-F914-4C01-9A63-1202DA0B2BEC}"/>
            </a:ext>
          </a:extLst>
        </xdr:cNvPr>
        <xdr:cNvCxnSpPr>
          <a:stCxn id="34" idx="0"/>
          <a:endCxn id="33" idx="6"/>
        </xdr:cNvCxnSpPr>
      </xdr:nvCxnSpPr>
      <xdr:spPr>
        <a:xfrm flipV="1">
          <a:off x="4919663" y="5814513"/>
          <a:ext cx="979737" cy="15194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96" name="Conector recto 95">
          <a:extLst>
            <a:ext uri="{FF2B5EF4-FFF2-40B4-BE49-F238E27FC236}">
              <a16:creationId xmlns:a16="http://schemas.microsoft.com/office/drawing/2014/main" id="{D2FD73D4-0913-4D24-8DCC-8096F0F4B131}"/>
            </a:ext>
          </a:extLst>
        </xdr:cNvPr>
        <xdr:cNvCxnSpPr>
          <a:stCxn id="50" idx="7"/>
          <a:endCxn id="34" idx="6"/>
        </xdr:cNvCxnSpPr>
      </xdr:nvCxnSpPr>
      <xdr:spPr>
        <a:xfrm flipH="1" flipV="1">
          <a:off x="4942205" y="5989003"/>
          <a:ext cx="1430652" cy="18287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97" name="Conector recto 96">
          <a:extLst>
            <a:ext uri="{FF2B5EF4-FFF2-40B4-BE49-F238E27FC236}">
              <a16:creationId xmlns:a16="http://schemas.microsoft.com/office/drawing/2014/main" id="{5B4BD36B-741D-4FE7-8EB3-E9D7F7412A7A}"/>
            </a:ext>
          </a:extLst>
        </xdr:cNvPr>
        <xdr:cNvCxnSpPr>
          <a:stCxn id="35" idx="5"/>
          <a:endCxn id="50" idx="6"/>
        </xdr:cNvCxnSpPr>
      </xdr:nvCxnSpPr>
      <xdr:spPr>
        <a:xfrm flipV="1">
          <a:off x="4935602" y="6187816"/>
          <a:ext cx="1443858" cy="19812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98" name="Conector recto 97">
          <a:extLst>
            <a:ext uri="{FF2B5EF4-FFF2-40B4-BE49-F238E27FC236}">
              <a16:creationId xmlns:a16="http://schemas.microsoft.com/office/drawing/2014/main" id="{A55CA750-5A60-498A-A681-3AC106244061}"/>
            </a:ext>
          </a:extLst>
        </xdr:cNvPr>
        <xdr:cNvCxnSpPr>
          <a:stCxn id="36" idx="6"/>
          <a:endCxn id="35" idx="4"/>
        </xdr:cNvCxnSpPr>
      </xdr:nvCxnSpPr>
      <xdr:spPr>
        <a:xfrm flipV="1">
          <a:off x="4462145" y="6392545"/>
          <a:ext cx="457518" cy="16795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99" name="Conector recto 98">
          <a:extLst>
            <a:ext uri="{FF2B5EF4-FFF2-40B4-BE49-F238E27FC236}">
              <a16:creationId xmlns:a16="http://schemas.microsoft.com/office/drawing/2014/main" id="{104C970D-FF84-4BE0-A3B1-116C0110B3BE}"/>
            </a:ext>
          </a:extLst>
        </xdr:cNvPr>
        <xdr:cNvCxnSpPr>
          <a:stCxn id="37" idx="6"/>
          <a:endCxn id="36" idx="5"/>
        </xdr:cNvCxnSpPr>
      </xdr:nvCxnSpPr>
      <xdr:spPr>
        <a:xfrm flipH="1" flipV="1">
          <a:off x="4455542" y="6576442"/>
          <a:ext cx="486663" cy="17456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100" name="Conector recto 99">
          <a:extLst>
            <a:ext uri="{FF2B5EF4-FFF2-40B4-BE49-F238E27FC236}">
              <a16:creationId xmlns:a16="http://schemas.microsoft.com/office/drawing/2014/main" id="{141ED672-B415-4911-90ED-7CC958A391D5}"/>
            </a:ext>
          </a:extLst>
        </xdr:cNvPr>
        <xdr:cNvCxnSpPr>
          <a:stCxn id="38" idx="1"/>
          <a:endCxn id="37" idx="3"/>
        </xdr:cNvCxnSpPr>
      </xdr:nvCxnSpPr>
      <xdr:spPr>
        <a:xfrm flipV="1">
          <a:off x="4423663" y="6766942"/>
          <a:ext cx="480060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101" name="Conector recto 100">
          <a:extLst>
            <a:ext uri="{FF2B5EF4-FFF2-40B4-BE49-F238E27FC236}">
              <a16:creationId xmlns:a16="http://schemas.microsoft.com/office/drawing/2014/main" id="{F705B751-404C-409E-8237-E790994DA1C6}"/>
            </a:ext>
          </a:extLst>
        </xdr:cNvPr>
        <xdr:cNvCxnSpPr>
          <a:stCxn id="39" idx="6"/>
          <a:endCxn id="38" idx="6"/>
        </xdr:cNvCxnSpPr>
      </xdr:nvCxnSpPr>
      <xdr:spPr>
        <a:xfrm flipH="1" flipV="1">
          <a:off x="4462145" y="6941503"/>
          <a:ext cx="949498" cy="19111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102" name="Conector recto 101">
          <a:extLst>
            <a:ext uri="{FF2B5EF4-FFF2-40B4-BE49-F238E27FC236}">
              <a16:creationId xmlns:a16="http://schemas.microsoft.com/office/drawing/2014/main" id="{0A35107F-D790-4BC7-93DE-1AB6DF56EDEE}"/>
            </a:ext>
          </a:extLst>
        </xdr:cNvPr>
        <xdr:cNvCxnSpPr>
          <a:stCxn id="40" idx="7"/>
          <a:endCxn id="39" idx="5"/>
        </xdr:cNvCxnSpPr>
      </xdr:nvCxnSpPr>
      <xdr:spPr>
        <a:xfrm flipV="1">
          <a:off x="4935602" y="7148558"/>
          <a:ext cx="469438" cy="15800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103" name="Conector recto 102">
          <a:extLst>
            <a:ext uri="{FF2B5EF4-FFF2-40B4-BE49-F238E27FC236}">
              <a16:creationId xmlns:a16="http://schemas.microsoft.com/office/drawing/2014/main" id="{0BF9FB99-2052-42C7-B0A6-A0469212A602}"/>
            </a:ext>
          </a:extLst>
        </xdr:cNvPr>
        <xdr:cNvCxnSpPr>
          <a:stCxn id="41" idx="0"/>
          <a:endCxn id="40" idx="3"/>
        </xdr:cNvCxnSpPr>
      </xdr:nvCxnSpPr>
      <xdr:spPr>
        <a:xfrm flipV="1">
          <a:off x="4439603" y="7345045"/>
          <a:ext cx="480060" cy="1454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104" name="Conector recto 103">
          <a:extLst>
            <a:ext uri="{FF2B5EF4-FFF2-40B4-BE49-F238E27FC236}">
              <a16:creationId xmlns:a16="http://schemas.microsoft.com/office/drawing/2014/main" id="{41C294C4-589F-41D1-B279-EE42A94DA1E9}"/>
            </a:ext>
          </a:extLst>
        </xdr:cNvPr>
        <xdr:cNvCxnSpPr>
          <a:stCxn id="63" idx="6"/>
          <a:endCxn id="41" idx="4"/>
        </xdr:cNvCxnSpPr>
      </xdr:nvCxnSpPr>
      <xdr:spPr>
        <a:xfrm flipH="1" flipV="1">
          <a:off x="4439603" y="7535545"/>
          <a:ext cx="1459797" cy="18396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105" name="Conector recto 104">
          <a:extLst>
            <a:ext uri="{FF2B5EF4-FFF2-40B4-BE49-F238E27FC236}">
              <a16:creationId xmlns:a16="http://schemas.microsoft.com/office/drawing/2014/main" id="{79B33ADD-3F32-4A5E-8BBE-E419D780018F}"/>
            </a:ext>
          </a:extLst>
        </xdr:cNvPr>
        <xdr:cNvCxnSpPr>
          <a:stCxn id="42" idx="1"/>
          <a:endCxn id="63" idx="6"/>
        </xdr:cNvCxnSpPr>
      </xdr:nvCxnSpPr>
      <xdr:spPr>
        <a:xfrm flipV="1">
          <a:off x="4903723" y="7719513"/>
          <a:ext cx="995677" cy="1585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106" name="Conector recto 105">
          <a:extLst>
            <a:ext uri="{FF2B5EF4-FFF2-40B4-BE49-F238E27FC236}">
              <a16:creationId xmlns:a16="http://schemas.microsoft.com/office/drawing/2014/main" id="{2CE77075-3E05-4607-A11D-8D0C2FAE4F29}"/>
            </a:ext>
          </a:extLst>
        </xdr:cNvPr>
        <xdr:cNvCxnSpPr>
          <a:stCxn id="64" idx="7"/>
          <a:endCxn id="52" idx="3"/>
        </xdr:cNvCxnSpPr>
      </xdr:nvCxnSpPr>
      <xdr:spPr>
        <a:xfrm flipV="1">
          <a:off x="5892797" y="8108755"/>
          <a:ext cx="448181" cy="1663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107" name="Conector recto 106">
          <a:extLst>
            <a:ext uri="{FF2B5EF4-FFF2-40B4-BE49-F238E27FC236}">
              <a16:creationId xmlns:a16="http://schemas.microsoft.com/office/drawing/2014/main" id="{696B92FB-0779-4093-9225-E97610E50E6B}"/>
            </a:ext>
          </a:extLst>
        </xdr:cNvPr>
        <xdr:cNvCxnSpPr>
          <a:stCxn id="42" idx="5"/>
          <a:endCxn id="52" idx="3"/>
        </xdr:cNvCxnSpPr>
      </xdr:nvCxnSpPr>
      <xdr:spPr>
        <a:xfrm>
          <a:off x="4935602" y="7909942"/>
          <a:ext cx="1398773" cy="18287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108" name="Conector recto 107">
          <a:extLst>
            <a:ext uri="{FF2B5EF4-FFF2-40B4-BE49-F238E27FC236}">
              <a16:creationId xmlns:a16="http://schemas.microsoft.com/office/drawing/2014/main" id="{50D144E3-BD3B-4316-88F7-893CA9890BA1}"/>
            </a:ext>
          </a:extLst>
        </xdr:cNvPr>
        <xdr:cNvCxnSpPr>
          <a:stCxn id="62" idx="6"/>
          <a:endCxn id="68" idx="6"/>
        </xdr:cNvCxnSpPr>
      </xdr:nvCxnSpPr>
      <xdr:spPr>
        <a:xfrm flipV="1">
          <a:off x="4942205" y="12101013"/>
          <a:ext cx="957195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109" name="Conector recto 108">
          <a:extLst>
            <a:ext uri="{FF2B5EF4-FFF2-40B4-BE49-F238E27FC236}">
              <a16:creationId xmlns:a16="http://schemas.microsoft.com/office/drawing/2014/main" id="{FFA105E5-AFE9-4E56-85DC-68274EAD772C}"/>
            </a:ext>
          </a:extLst>
        </xdr:cNvPr>
        <xdr:cNvCxnSpPr>
          <a:stCxn id="61" idx="1"/>
          <a:endCxn id="68" idx="6"/>
        </xdr:cNvCxnSpPr>
      </xdr:nvCxnSpPr>
      <xdr:spPr>
        <a:xfrm>
          <a:off x="4423663" y="11878563"/>
          <a:ext cx="1475737" cy="2224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110" name="Conector recto 109">
          <a:extLst>
            <a:ext uri="{FF2B5EF4-FFF2-40B4-BE49-F238E27FC236}">
              <a16:creationId xmlns:a16="http://schemas.microsoft.com/office/drawing/2014/main" id="{7B540A25-1755-4CC7-84A5-9724E9E536FC}"/>
            </a:ext>
          </a:extLst>
        </xdr:cNvPr>
        <xdr:cNvCxnSpPr>
          <a:stCxn id="60" idx="2"/>
          <a:endCxn id="61" idx="0"/>
        </xdr:cNvCxnSpPr>
      </xdr:nvCxnSpPr>
      <xdr:spPr>
        <a:xfrm flipH="1">
          <a:off x="4439603" y="117040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111" name="Conector recto 110">
          <a:extLst>
            <a:ext uri="{FF2B5EF4-FFF2-40B4-BE49-F238E27FC236}">
              <a16:creationId xmlns:a16="http://schemas.microsoft.com/office/drawing/2014/main" id="{55B0E286-90EC-41BE-B7A7-B34A894A73A2}"/>
            </a:ext>
          </a:extLst>
        </xdr:cNvPr>
        <xdr:cNvCxnSpPr>
          <a:stCxn id="59" idx="7"/>
          <a:endCxn id="67" idx="6"/>
        </xdr:cNvCxnSpPr>
      </xdr:nvCxnSpPr>
      <xdr:spPr>
        <a:xfrm>
          <a:off x="4455542" y="11307063"/>
          <a:ext cx="1437255" cy="2383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112" name="Conector recto 111">
          <a:extLst>
            <a:ext uri="{FF2B5EF4-FFF2-40B4-BE49-F238E27FC236}">
              <a16:creationId xmlns:a16="http://schemas.microsoft.com/office/drawing/2014/main" id="{61027F39-A7E1-4D97-91AB-B68125EA9197}"/>
            </a:ext>
          </a:extLst>
        </xdr:cNvPr>
        <xdr:cNvCxnSpPr>
          <a:stCxn id="60" idx="2"/>
          <a:endCxn id="67" idx="5"/>
        </xdr:cNvCxnSpPr>
      </xdr:nvCxnSpPr>
      <xdr:spPr>
        <a:xfrm flipV="1">
          <a:off x="4897120" y="11552055"/>
          <a:ext cx="979738" cy="1519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113" name="Conector recto 112">
          <a:extLst>
            <a:ext uri="{FF2B5EF4-FFF2-40B4-BE49-F238E27FC236}">
              <a16:creationId xmlns:a16="http://schemas.microsoft.com/office/drawing/2014/main" id="{CE8EDB49-5572-49DE-B770-1259F5FF6CDF}"/>
            </a:ext>
          </a:extLst>
        </xdr:cNvPr>
        <xdr:cNvCxnSpPr>
          <a:stCxn id="59" idx="0"/>
          <a:endCxn id="58" idx="6"/>
        </xdr:cNvCxnSpPr>
      </xdr:nvCxnSpPr>
      <xdr:spPr>
        <a:xfrm flipV="1">
          <a:off x="4439603" y="11132503"/>
          <a:ext cx="457517" cy="16795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114" name="Conector recto 113">
          <a:extLst>
            <a:ext uri="{FF2B5EF4-FFF2-40B4-BE49-F238E27FC236}">
              <a16:creationId xmlns:a16="http://schemas.microsoft.com/office/drawing/2014/main" id="{A2EA701B-10FE-4675-890C-D7AF0AD303D9}"/>
            </a:ext>
          </a:extLst>
        </xdr:cNvPr>
        <xdr:cNvCxnSpPr>
          <a:stCxn id="57" idx="7"/>
          <a:endCxn id="58" idx="2"/>
        </xdr:cNvCxnSpPr>
      </xdr:nvCxnSpPr>
      <xdr:spPr>
        <a:xfrm>
          <a:off x="4455542" y="10926063"/>
          <a:ext cx="486663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115" name="Conector recto 114">
          <a:extLst>
            <a:ext uri="{FF2B5EF4-FFF2-40B4-BE49-F238E27FC236}">
              <a16:creationId xmlns:a16="http://schemas.microsoft.com/office/drawing/2014/main" id="{9E059B94-8A04-46B1-84D3-81068E57E8EE}"/>
            </a:ext>
          </a:extLst>
        </xdr:cNvPr>
        <xdr:cNvCxnSpPr>
          <a:stCxn id="56" idx="6"/>
          <a:endCxn id="57" idx="1"/>
        </xdr:cNvCxnSpPr>
      </xdr:nvCxnSpPr>
      <xdr:spPr>
        <a:xfrm flipH="1">
          <a:off x="4455542" y="10751503"/>
          <a:ext cx="486663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116" name="Conector recto 115">
          <a:extLst>
            <a:ext uri="{FF2B5EF4-FFF2-40B4-BE49-F238E27FC236}">
              <a16:creationId xmlns:a16="http://schemas.microsoft.com/office/drawing/2014/main" id="{DD029F7C-7E5F-41F7-92CF-EE8E01A4BAF9}"/>
            </a:ext>
          </a:extLst>
        </xdr:cNvPr>
        <xdr:cNvCxnSpPr>
          <a:stCxn id="55" idx="1"/>
          <a:endCxn id="54" idx="5"/>
        </xdr:cNvCxnSpPr>
      </xdr:nvCxnSpPr>
      <xdr:spPr>
        <a:xfrm flipV="1">
          <a:off x="4423663" y="10370503"/>
          <a:ext cx="518542" cy="17456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117" name="Conector recto 116">
          <a:extLst>
            <a:ext uri="{FF2B5EF4-FFF2-40B4-BE49-F238E27FC236}">
              <a16:creationId xmlns:a16="http://schemas.microsoft.com/office/drawing/2014/main" id="{9AD66F89-E23A-4193-931D-5C99917269AA}"/>
            </a:ext>
          </a:extLst>
        </xdr:cNvPr>
        <xdr:cNvCxnSpPr>
          <a:stCxn id="56" idx="6"/>
          <a:endCxn id="55" idx="1"/>
        </xdr:cNvCxnSpPr>
      </xdr:nvCxnSpPr>
      <xdr:spPr>
        <a:xfrm flipH="1" flipV="1">
          <a:off x="4462145" y="1056100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118" name="Conector recto 117">
          <a:extLst>
            <a:ext uri="{FF2B5EF4-FFF2-40B4-BE49-F238E27FC236}">
              <a16:creationId xmlns:a16="http://schemas.microsoft.com/office/drawing/2014/main" id="{14E7F964-6B75-40D7-837B-72AFA739CAE5}"/>
            </a:ext>
          </a:extLst>
        </xdr:cNvPr>
        <xdr:cNvCxnSpPr>
          <a:stCxn id="53" idx="4"/>
          <a:endCxn id="66" idx="1"/>
        </xdr:cNvCxnSpPr>
      </xdr:nvCxnSpPr>
      <xdr:spPr>
        <a:xfrm flipH="1">
          <a:off x="5860918" y="10020358"/>
          <a:ext cx="496000" cy="1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119" name="Conector recto 118">
          <a:extLst>
            <a:ext uri="{FF2B5EF4-FFF2-40B4-BE49-F238E27FC236}">
              <a16:creationId xmlns:a16="http://schemas.microsoft.com/office/drawing/2014/main" id="{09834212-80C3-42C2-BFD7-BE488AD1C085}"/>
            </a:ext>
          </a:extLst>
        </xdr:cNvPr>
        <xdr:cNvCxnSpPr>
          <a:stCxn id="54" idx="7"/>
          <a:endCxn id="66" idx="3"/>
        </xdr:cNvCxnSpPr>
      </xdr:nvCxnSpPr>
      <xdr:spPr>
        <a:xfrm flipV="1">
          <a:off x="4935602" y="10211952"/>
          <a:ext cx="925316" cy="14261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120" name="Conector recto 119">
          <a:extLst>
            <a:ext uri="{FF2B5EF4-FFF2-40B4-BE49-F238E27FC236}">
              <a16:creationId xmlns:a16="http://schemas.microsoft.com/office/drawing/2014/main" id="{BEA06851-F51F-45C9-9B7E-F09C7736ABA4}"/>
            </a:ext>
          </a:extLst>
        </xdr:cNvPr>
        <xdr:cNvCxnSpPr>
          <a:stCxn id="43" idx="6"/>
          <a:endCxn id="64" idx="2"/>
        </xdr:cNvCxnSpPr>
      </xdr:nvCxnSpPr>
      <xdr:spPr>
        <a:xfrm flipV="1">
          <a:off x="4942205" y="8291013"/>
          <a:ext cx="912110" cy="174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121" name="Conector recto 120">
          <a:extLst>
            <a:ext uri="{FF2B5EF4-FFF2-40B4-BE49-F238E27FC236}">
              <a16:creationId xmlns:a16="http://schemas.microsoft.com/office/drawing/2014/main" id="{D38E710C-A664-4123-B627-54BEBAA2A7CE}"/>
            </a:ext>
          </a:extLst>
        </xdr:cNvPr>
        <xdr:cNvCxnSpPr>
          <a:stCxn id="49" idx="4"/>
          <a:endCxn id="53" idx="2"/>
        </xdr:cNvCxnSpPr>
      </xdr:nvCxnSpPr>
      <xdr:spPr>
        <a:xfrm>
          <a:off x="4919663" y="9821545"/>
          <a:ext cx="1414712" cy="1762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122" name="Conector recto 121">
          <a:extLst>
            <a:ext uri="{FF2B5EF4-FFF2-40B4-BE49-F238E27FC236}">
              <a16:creationId xmlns:a16="http://schemas.microsoft.com/office/drawing/2014/main" id="{9CCDBB94-7C3B-459B-A118-A076D3626CBD}"/>
            </a:ext>
          </a:extLst>
        </xdr:cNvPr>
        <xdr:cNvCxnSpPr>
          <a:stCxn id="65" idx="4"/>
          <a:endCxn id="49" idx="1"/>
        </xdr:cNvCxnSpPr>
      </xdr:nvCxnSpPr>
      <xdr:spPr>
        <a:xfrm flipH="1">
          <a:off x="4903723" y="9647055"/>
          <a:ext cx="973135" cy="13600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123" name="Conector recto 122">
          <a:extLst>
            <a:ext uri="{FF2B5EF4-FFF2-40B4-BE49-F238E27FC236}">
              <a16:creationId xmlns:a16="http://schemas.microsoft.com/office/drawing/2014/main" id="{69517A34-2333-43A4-86BD-7FCC27610B28}"/>
            </a:ext>
          </a:extLst>
        </xdr:cNvPr>
        <xdr:cNvCxnSpPr>
          <a:stCxn id="44" idx="7"/>
          <a:endCxn id="43" idx="3"/>
        </xdr:cNvCxnSpPr>
      </xdr:nvCxnSpPr>
      <xdr:spPr>
        <a:xfrm flipV="1">
          <a:off x="4455542" y="8481442"/>
          <a:ext cx="448181" cy="1586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124" name="Conector recto 123">
          <a:extLst>
            <a:ext uri="{FF2B5EF4-FFF2-40B4-BE49-F238E27FC236}">
              <a16:creationId xmlns:a16="http://schemas.microsoft.com/office/drawing/2014/main" id="{9CAA253C-CD2F-4D6C-BF2F-C6E2A3366B4E}"/>
            </a:ext>
          </a:extLst>
        </xdr:cNvPr>
        <xdr:cNvCxnSpPr>
          <a:stCxn id="48" idx="1"/>
          <a:endCxn id="65" idx="1"/>
        </xdr:cNvCxnSpPr>
      </xdr:nvCxnSpPr>
      <xdr:spPr>
        <a:xfrm>
          <a:off x="4423663" y="9402063"/>
          <a:ext cx="1437255" cy="20651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125" name="Conector recto 124">
          <a:extLst>
            <a:ext uri="{FF2B5EF4-FFF2-40B4-BE49-F238E27FC236}">
              <a16:creationId xmlns:a16="http://schemas.microsoft.com/office/drawing/2014/main" id="{AF5833CA-D7A0-4D99-96DC-8642033C544A}"/>
            </a:ext>
          </a:extLst>
        </xdr:cNvPr>
        <xdr:cNvCxnSpPr>
          <a:stCxn id="46" idx="1"/>
          <a:endCxn id="47" idx="1"/>
        </xdr:cNvCxnSpPr>
      </xdr:nvCxnSpPr>
      <xdr:spPr>
        <a:xfrm>
          <a:off x="4423663" y="9021063"/>
          <a:ext cx="480060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126" name="Conector recto 125">
          <a:extLst>
            <a:ext uri="{FF2B5EF4-FFF2-40B4-BE49-F238E27FC236}">
              <a16:creationId xmlns:a16="http://schemas.microsoft.com/office/drawing/2014/main" id="{3B649DD1-4570-4BA6-9CBF-51029B7CE385}"/>
            </a:ext>
          </a:extLst>
        </xdr:cNvPr>
        <xdr:cNvCxnSpPr>
          <a:stCxn id="44" idx="1"/>
          <a:endCxn id="45" idx="6"/>
        </xdr:cNvCxnSpPr>
      </xdr:nvCxnSpPr>
      <xdr:spPr>
        <a:xfrm>
          <a:off x="4423663" y="8640063"/>
          <a:ext cx="518542" cy="206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127" name="Conector recto 126">
          <a:extLst>
            <a:ext uri="{FF2B5EF4-FFF2-40B4-BE49-F238E27FC236}">
              <a16:creationId xmlns:a16="http://schemas.microsoft.com/office/drawing/2014/main" id="{731ECC81-C81C-4CE6-B869-6B2FC8796FEE}"/>
            </a:ext>
          </a:extLst>
        </xdr:cNvPr>
        <xdr:cNvCxnSpPr>
          <a:stCxn id="48" idx="7"/>
          <a:endCxn id="47" idx="1"/>
        </xdr:cNvCxnSpPr>
      </xdr:nvCxnSpPr>
      <xdr:spPr>
        <a:xfrm flipV="1">
          <a:off x="4455542" y="9211563"/>
          <a:ext cx="448181" cy="190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128" name="Conector recto 127">
          <a:extLst>
            <a:ext uri="{FF2B5EF4-FFF2-40B4-BE49-F238E27FC236}">
              <a16:creationId xmlns:a16="http://schemas.microsoft.com/office/drawing/2014/main" id="{7585832E-1323-4464-8061-EDD981160C62}"/>
            </a:ext>
          </a:extLst>
        </xdr:cNvPr>
        <xdr:cNvCxnSpPr>
          <a:stCxn id="46" idx="0"/>
          <a:endCxn id="45" idx="3"/>
        </xdr:cNvCxnSpPr>
      </xdr:nvCxnSpPr>
      <xdr:spPr>
        <a:xfrm flipV="1">
          <a:off x="4439603" y="8862442"/>
          <a:ext cx="464120" cy="15201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129" name="Conector recto 128">
          <a:extLst>
            <a:ext uri="{FF2B5EF4-FFF2-40B4-BE49-F238E27FC236}">
              <a16:creationId xmlns:a16="http://schemas.microsoft.com/office/drawing/2014/main" id="{556542DF-74AC-4B4E-85C1-F3B10661A741}"/>
            </a:ext>
          </a:extLst>
        </xdr:cNvPr>
        <xdr:cNvCxnSpPr>
          <a:stCxn id="17" idx="6"/>
          <a:endCxn id="51" idx="0"/>
        </xdr:cNvCxnSpPr>
      </xdr:nvCxnSpPr>
      <xdr:spPr>
        <a:xfrm flipV="1">
          <a:off x="5902325" y="3139816"/>
          <a:ext cx="432050" cy="18988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198966</xdr:colOff>
      <xdr:row>2</xdr:row>
      <xdr:rowOff>45797</xdr:rowOff>
    </xdr:from>
    <xdr:to>
      <xdr:col>5</xdr:col>
      <xdr:colOff>289771</xdr:colOff>
      <xdr:row>2</xdr:row>
      <xdr:rowOff>138507</xdr:rowOff>
    </xdr:to>
    <xdr:sp macro="" textlink="">
      <xdr:nvSpPr>
        <xdr:cNvPr id="131" name="Elipse 130">
          <a:extLst>
            <a:ext uri="{FF2B5EF4-FFF2-40B4-BE49-F238E27FC236}">
              <a16:creationId xmlns:a16="http://schemas.microsoft.com/office/drawing/2014/main" id="{E9D1514E-F30E-4F91-9F89-92F0185073CD}"/>
            </a:ext>
          </a:extLst>
        </xdr:cNvPr>
        <xdr:cNvSpPr/>
      </xdr:nvSpPr>
      <xdr:spPr>
        <a:xfrm>
          <a:off x="3885814" y="430645"/>
          <a:ext cx="90805" cy="92710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196273</xdr:colOff>
      <xdr:row>2</xdr:row>
      <xdr:rowOff>58497</xdr:rowOff>
    </xdr:from>
    <xdr:to>
      <xdr:col>8</xdr:col>
      <xdr:colOff>276283</xdr:colOff>
      <xdr:row>2</xdr:row>
      <xdr:rowOff>133427</xdr:rowOff>
    </xdr:to>
    <xdr:sp macro="" textlink="">
      <xdr:nvSpPr>
        <xdr:cNvPr id="132" name="Diagrama de flujo: proceso alternativo 131">
          <a:extLst>
            <a:ext uri="{FF2B5EF4-FFF2-40B4-BE49-F238E27FC236}">
              <a16:creationId xmlns:a16="http://schemas.microsoft.com/office/drawing/2014/main" id="{68A1DE3A-956A-4BBF-ACFA-9FCE5C67F887}"/>
            </a:ext>
          </a:extLst>
        </xdr:cNvPr>
        <xdr:cNvSpPr/>
      </xdr:nvSpPr>
      <xdr:spPr>
        <a:xfrm>
          <a:off x="5830455" y="443345"/>
          <a:ext cx="80010" cy="74930"/>
        </a:xfrm>
        <a:prstGeom prst="flowChartAlternateProcess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202638</xdr:colOff>
      <xdr:row>2</xdr:row>
      <xdr:rowOff>43607</xdr:rowOff>
    </xdr:from>
    <xdr:to>
      <xdr:col>9</xdr:col>
      <xdr:colOff>270583</xdr:colOff>
      <xdr:row>2</xdr:row>
      <xdr:rowOff>115362</xdr:rowOff>
    </xdr:to>
    <xdr:sp macro="" textlink="">
      <xdr:nvSpPr>
        <xdr:cNvPr id="133" name="Diagrama de flujo: combinar 132">
          <a:extLst>
            <a:ext uri="{FF2B5EF4-FFF2-40B4-BE49-F238E27FC236}">
              <a16:creationId xmlns:a16="http://schemas.microsoft.com/office/drawing/2014/main" id="{0096E979-A1C0-4A03-98DF-1445F6050EC4}"/>
            </a:ext>
          </a:extLst>
        </xdr:cNvPr>
        <xdr:cNvSpPr/>
      </xdr:nvSpPr>
      <xdr:spPr>
        <a:xfrm>
          <a:off x="6322084" y="430469"/>
          <a:ext cx="67945" cy="71755"/>
        </a:xfrm>
        <a:prstGeom prst="flowChartMerge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188961</xdr:colOff>
      <xdr:row>2</xdr:row>
      <xdr:rowOff>58497</xdr:rowOff>
    </xdr:from>
    <xdr:to>
      <xdr:col>7</xdr:col>
      <xdr:colOff>286116</xdr:colOff>
      <xdr:row>2</xdr:row>
      <xdr:rowOff>138507</xdr:rowOff>
    </xdr:to>
    <xdr:sp macro="" textlink="">
      <xdr:nvSpPr>
        <xdr:cNvPr id="134" name="Diagrama de flujo: retraso 133">
          <a:extLst>
            <a:ext uri="{FF2B5EF4-FFF2-40B4-BE49-F238E27FC236}">
              <a16:creationId xmlns:a16="http://schemas.microsoft.com/office/drawing/2014/main" id="{5D8B0E05-F0E3-43DE-A442-B3E5C6A9325D}"/>
            </a:ext>
          </a:extLst>
        </xdr:cNvPr>
        <xdr:cNvSpPr/>
      </xdr:nvSpPr>
      <xdr:spPr>
        <a:xfrm>
          <a:off x="4830234" y="443345"/>
          <a:ext cx="97155" cy="80010"/>
        </a:xfrm>
        <a:prstGeom prst="flowChartDelay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221673</xdr:colOff>
      <xdr:row>2</xdr:row>
      <xdr:rowOff>61191</xdr:rowOff>
    </xdr:from>
    <xdr:to>
      <xdr:col>6</xdr:col>
      <xdr:colOff>301683</xdr:colOff>
      <xdr:row>2</xdr:row>
      <xdr:rowOff>132311</xdr:rowOff>
    </xdr:to>
    <xdr:sp macro="" textlink="">
      <xdr:nvSpPr>
        <xdr:cNvPr id="135" name="Flecha: a la derecha 134">
          <a:extLst>
            <a:ext uri="{FF2B5EF4-FFF2-40B4-BE49-F238E27FC236}">
              <a16:creationId xmlns:a16="http://schemas.microsoft.com/office/drawing/2014/main" id="{150386AF-DE89-489B-AC57-C59E83C75D02}"/>
            </a:ext>
          </a:extLst>
        </xdr:cNvPr>
        <xdr:cNvSpPr/>
      </xdr:nvSpPr>
      <xdr:spPr>
        <a:xfrm>
          <a:off x="4385734" y="446039"/>
          <a:ext cx="80010" cy="7112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</xdr:row>
      <xdr:rowOff>60960</xdr:rowOff>
    </xdr:from>
    <xdr:to>
      <xdr:col>6</xdr:col>
      <xdr:colOff>263525</xdr:colOff>
      <xdr:row>5</xdr:row>
      <xdr:rowOff>106045</xdr:rowOff>
    </xdr:to>
    <xdr:sp macro="" textlink="">
      <xdr:nvSpPr>
        <xdr:cNvPr id="139" name="Elipse 138">
          <a:extLst>
            <a:ext uri="{FF2B5EF4-FFF2-40B4-BE49-F238E27FC236}">
              <a16:creationId xmlns:a16="http://schemas.microsoft.com/office/drawing/2014/main" id="{97F718CF-24E4-41E5-80AE-5BDD93D054F7}"/>
            </a:ext>
          </a:extLst>
        </xdr:cNvPr>
        <xdr:cNvSpPr/>
      </xdr:nvSpPr>
      <xdr:spPr>
        <a:xfrm>
          <a:off x="4902200" y="1026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</xdr:row>
      <xdr:rowOff>60960</xdr:rowOff>
    </xdr:from>
    <xdr:to>
      <xdr:col>5</xdr:col>
      <xdr:colOff>263525</xdr:colOff>
      <xdr:row>6</xdr:row>
      <xdr:rowOff>106045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8038188B-A922-4A6B-BEE0-532E82B140D1}"/>
            </a:ext>
          </a:extLst>
        </xdr:cNvPr>
        <xdr:cNvSpPr/>
      </xdr:nvSpPr>
      <xdr:spPr>
        <a:xfrm>
          <a:off x="4419600" y="1219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7</xdr:row>
      <xdr:rowOff>68657</xdr:rowOff>
    </xdr:from>
    <xdr:to>
      <xdr:col>6</xdr:col>
      <xdr:colOff>263525</xdr:colOff>
      <xdr:row>7</xdr:row>
      <xdr:rowOff>113742</xdr:rowOff>
    </xdr:to>
    <xdr:sp macro="" textlink="">
      <xdr:nvSpPr>
        <xdr:cNvPr id="141" name="Elipse 140">
          <a:extLst>
            <a:ext uri="{FF2B5EF4-FFF2-40B4-BE49-F238E27FC236}">
              <a16:creationId xmlns:a16="http://schemas.microsoft.com/office/drawing/2014/main" id="{BB65D98A-E01B-4A22-979A-3A8F6BB2E92C}"/>
            </a:ext>
          </a:extLst>
        </xdr:cNvPr>
        <xdr:cNvSpPr/>
      </xdr:nvSpPr>
      <xdr:spPr>
        <a:xfrm>
          <a:off x="4902200" y="14199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8</xdr:row>
      <xdr:rowOff>60960</xdr:rowOff>
    </xdr:from>
    <xdr:to>
      <xdr:col>5</xdr:col>
      <xdr:colOff>263525</xdr:colOff>
      <xdr:row>8</xdr:row>
      <xdr:rowOff>106045</xdr:rowOff>
    </xdr:to>
    <xdr:sp macro="" textlink="">
      <xdr:nvSpPr>
        <xdr:cNvPr id="142" name="Elipse 141">
          <a:extLst>
            <a:ext uri="{FF2B5EF4-FFF2-40B4-BE49-F238E27FC236}">
              <a16:creationId xmlns:a16="http://schemas.microsoft.com/office/drawing/2014/main" id="{9BDE4532-7D4D-458C-8E85-ECCA75E47EE4}"/>
            </a:ext>
          </a:extLst>
        </xdr:cNvPr>
        <xdr:cNvSpPr/>
      </xdr:nvSpPr>
      <xdr:spPr>
        <a:xfrm>
          <a:off x="4419600" y="1605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9</xdr:row>
      <xdr:rowOff>60960</xdr:rowOff>
    </xdr:from>
    <xdr:to>
      <xdr:col>6</xdr:col>
      <xdr:colOff>263525</xdr:colOff>
      <xdr:row>9</xdr:row>
      <xdr:rowOff>106045</xdr:rowOff>
    </xdr:to>
    <xdr:sp macro="" textlink="">
      <xdr:nvSpPr>
        <xdr:cNvPr id="143" name="Elipse 142">
          <a:extLst>
            <a:ext uri="{FF2B5EF4-FFF2-40B4-BE49-F238E27FC236}">
              <a16:creationId xmlns:a16="http://schemas.microsoft.com/office/drawing/2014/main" id="{66D85FE6-07BF-4001-99E1-DE0CA2ED1343}"/>
            </a:ext>
          </a:extLst>
        </xdr:cNvPr>
        <xdr:cNvSpPr/>
      </xdr:nvSpPr>
      <xdr:spPr>
        <a:xfrm>
          <a:off x="4902200" y="1798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10</xdr:row>
      <xdr:rowOff>60960</xdr:rowOff>
    </xdr:from>
    <xdr:to>
      <xdr:col>5</xdr:col>
      <xdr:colOff>263525</xdr:colOff>
      <xdr:row>10</xdr:row>
      <xdr:rowOff>106045</xdr:rowOff>
    </xdr:to>
    <xdr:sp macro="" textlink="">
      <xdr:nvSpPr>
        <xdr:cNvPr id="144" name="Elipse 143">
          <a:extLst>
            <a:ext uri="{FF2B5EF4-FFF2-40B4-BE49-F238E27FC236}">
              <a16:creationId xmlns:a16="http://schemas.microsoft.com/office/drawing/2014/main" id="{22936BB1-B383-403C-963B-4B0650716173}"/>
            </a:ext>
          </a:extLst>
        </xdr:cNvPr>
        <xdr:cNvSpPr/>
      </xdr:nvSpPr>
      <xdr:spPr>
        <a:xfrm>
          <a:off x="4419600" y="1991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11</xdr:row>
      <xdr:rowOff>60960</xdr:rowOff>
    </xdr:from>
    <xdr:to>
      <xdr:col>6</xdr:col>
      <xdr:colOff>263525</xdr:colOff>
      <xdr:row>11</xdr:row>
      <xdr:rowOff>106045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F82D309E-6434-4E1F-933D-824302ACA7CB}"/>
            </a:ext>
          </a:extLst>
        </xdr:cNvPr>
        <xdr:cNvSpPr/>
      </xdr:nvSpPr>
      <xdr:spPr>
        <a:xfrm>
          <a:off x="4902200" y="2184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12</xdr:row>
      <xdr:rowOff>60960</xdr:rowOff>
    </xdr:from>
    <xdr:to>
      <xdr:col>5</xdr:col>
      <xdr:colOff>263525</xdr:colOff>
      <xdr:row>12</xdr:row>
      <xdr:rowOff>106045</xdr:rowOff>
    </xdr:to>
    <xdr:sp macro="" textlink="">
      <xdr:nvSpPr>
        <xdr:cNvPr id="146" name="Elipse 145">
          <a:extLst>
            <a:ext uri="{FF2B5EF4-FFF2-40B4-BE49-F238E27FC236}">
              <a16:creationId xmlns:a16="http://schemas.microsoft.com/office/drawing/2014/main" id="{405A1652-F808-4F87-99D2-44DFF3207E5A}"/>
            </a:ext>
          </a:extLst>
        </xdr:cNvPr>
        <xdr:cNvSpPr/>
      </xdr:nvSpPr>
      <xdr:spPr>
        <a:xfrm>
          <a:off x="4419600" y="2377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13</xdr:row>
      <xdr:rowOff>60960</xdr:rowOff>
    </xdr:from>
    <xdr:to>
      <xdr:col>6</xdr:col>
      <xdr:colOff>263525</xdr:colOff>
      <xdr:row>13</xdr:row>
      <xdr:rowOff>106045</xdr:rowOff>
    </xdr:to>
    <xdr:sp macro="" textlink="">
      <xdr:nvSpPr>
        <xdr:cNvPr id="147" name="Elipse 146">
          <a:extLst>
            <a:ext uri="{FF2B5EF4-FFF2-40B4-BE49-F238E27FC236}">
              <a16:creationId xmlns:a16="http://schemas.microsoft.com/office/drawing/2014/main" id="{DC0C9F6A-0C57-4A29-AFF7-BCD6FF607375}"/>
            </a:ext>
          </a:extLst>
        </xdr:cNvPr>
        <xdr:cNvSpPr/>
      </xdr:nvSpPr>
      <xdr:spPr>
        <a:xfrm>
          <a:off x="4902200" y="2570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15</xdr:row>
      <xdr:rowOff>60960</xdr:rowOff>
    </xdr:from>
    <xdr:to>
      <xdr:col>6</xdr:col>
      <xdr:colOff>263525</xdr:colOff>
      <xdr:row>15</xdr:row>
      <xdr:rowOff>106045</xdr:rowOff>
    </xdr:to>
    <xdr:sp macro="" textlink="">
      <xdr:nvSpPr>
        <xdr:cNvPr id="150" name="Elipse 149">
          <a:extLst>
            <a:ext uri="{FF2B5EF4-FFF2-40B4-BE49-F238E27FC236}">
              <a16:creationId xmlns:a16="http://schemas.microsoft.com/office/drawing/2014/main" id="{97A8EDDE-69BA-44B1-891F-CCAA3D58CF91}"/>
            </a:ext>
          </a:extLst>
        </xdr:cNvPr>
        <xdr:cNvSpPr/>
      </xdr:nvSpPr>
      <xdr:spPr>
        <a:xfrm>
          <a:off x="4902200" y="29565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218440</xdr:colOff>
      <xdr:row>17</xdr:row>
      <xdr:rowOff>68657</xdr:rowOff>
    </xdr:from>
    <xdr:to>
      <xdr:col>8</xdr:col>
      <xdr:colOff>263525</xdr:colOff>
      <xdr:row>17</xdr:row>
      <xdr:rowOff>113742</xdr:rowOff>
    </xdr:to>
    <xdr:sp macro="" textlink="">
      <xdr:nvSpPr>
        <xdr:cNvPr id="152" name="Elipse 151">
          <a:extLst>
            <a:ext uri="{FF2B5EF4-FFF2-40B4-BE49-F238E27FC236}">
              <a16:creationId xmlns:a16="http://schemas.microsoft.com/office/drawing/2014/main" id="{D061C4FC-6A93-40AF-ADAC-436AE52591E8}"/>
            </a:ext>
          </a:extLst>
        </xdr:cNvPr>
        <xdr:cNvSpPr/>
      </xdr:nvSpPr>
      <xdr:spPr>
        <a:xfrm>
          <a:off x="4902200" y="335033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18</xdr:row>
      <xdr:rowOff>60960</xdr:rowOff>
    </xdr:from>
    <xdr:to>
      <xdr:col>6</xdr:col>
      <xdr:colOff>263525</xdr:colOff>
      <xdr:row>18</xdr:row>
      <xdr:rowOff>106045</xdr:rowOff>
    </xdr:to>
    <xdr:sp macro="" textlink="">
      <xdr:nvSpPr>
        <xdr:cNvPr id="153" name="Elipse 152">
          <a:extLst>
            <a:ext uri="{FF2B5EF4-FFF2-40B4-BE49-F238E27FC236}">
              <a16:creationId xmlns:a16="http://schemas.microsoft.com/office/drawing/2014/main" id="{ADBFA614-533F-4504-A400-9BBA8DFEAE5C}"/>
            </a:ext>
          </a:extLst>
        </xdr:cNvPr>
        <xdr:cNvSpPr/>
      </xdr:nvSpPr>
      <xdr:spPr>
        <a:xfrm>
          <a:off x="4419600" y="35356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19</xdr:row>
      <xdr:rowOff>60960</xdr:rowOff>
    </xdr:from>
    <xdr:to>
      <xdr:col>5</xdr:col>
      <xdr:colOff>263525</xdr:colOff>
      <xdr:row>19</xdr:row>
      <xdr:rowOff>106045</xdr:rowOff>
    </xdr:to>
    <xdr:sp macro="" textlink="">
      <xdr:nvSpPr>
        <xdr:cNvPr id="154" name="Elipse 153">
          <a:extLst>
            <a:ext uri="{FF2B5EF4-FFF2-40B4-BE49-F238E27FC236}">
              <a16:creationId xmlns:a16="http://schemas.microsoft.com/office/drawing/2014/main" id="{52497875-B729-4166-826D-06FFD7DBC375}"/>
            </a:ext>
          </a:extLst>
        </xdr:cNvPr>
        <xdr:cNvSpPr/>
      </xdr:nvSpPr>
      <xdr:spPr>
        <a:xfrm>
          <a:off x="4902200" y="3728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20</xdr:row>
      <xdr:rowOff>60960</xdr:rowOff>
    </xdr:from>
    <xdr:to>
      <xdr:col>6</xdr:col>
      <xdr:colOff>263525</xdr:colOff>
      <xdr:row>20</xdr:row>
      <xdr:rowOff>106045</xdr:rowOff>
    </xdr:to>
    <xdr:sp macro="" textlink="">
      <xdr:nvSpPr>
        <xdr:cNvPr id="155" name="Elipse 154">
          <a:extLst>
            <a:ext uri="{FF2B5EF4-FFF2-40B4-BE49-F238E27FC236}">
              <a16:creationId xmlns:a16="http://schemas.microsoft.com/office/drawing/2014/main" id="{E217AB05-7E7A-41F7-8282-B62DEA886E48}"/>
            </a:ext>
          </a:extLst>
        </xdr:cNvPr>
        <xdr:cNvSpPr/>
      </xdr:nvSpPr>
      <xdr:spPr>
        <a:xfrm>
          <a:off x="4419600" y="3921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21</xdr:row>
      <xdr:rowOff>60960</xdr:rowOff>
    </xdr:from>
    <xdr:to>
      <xdr:col>5</xdr:col>
      <xdr:colOff>263525</xdr:colOff>
      <xdr:row>21</xdr:row>
      <xdr:rowOff>106045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B49EBD31-9D10-426E-90A7-26D060E15C5B}"/>
            </a:ext>
          </a:extLst>
        </xdr:cNvPr>
        <xdr:cNvSpPr/>
      </xdr:nvSpPr>
      <xdr:spPr>
        <a:xfrm>
          <a:off x="4902200" y="4114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22</xdr:row>
      <xdr:rowOff>60960</xdr:rowOff>
    </xdr:from>
    <xdr:to>
      <xdr:col>6</xdr:col>
      <xdr:colOff>263525</xdr:colOff>
      <xdr:row>22</xdr:row>
      <xdr:rowOff>106045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62C84717-2059-4FB0-8FF1-F15A391750E2}"/>
            </a:ext>
          </a:extLst>
        </xdr:cNvPr>
        <xdr:cNvSpPr/>
      </xdr:nvSpPr>
      <xdr:spPr>
        <a:xfrm>
          <a:off x="4419600" y="4307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23</xdr:row>
      <xdr:rowOff>60960</xdr:rowOff>
    </xdr:from>
    <xdr:to>
      <xdr:col>5</xdr:col>
      <xdr:colOff>263525</xdr:colOff>
      <xdr:row>23</xdr:row>
      <xdr:rowOff>106045</xdr:rowOff>
    </xdr:to>
    <xdr:sp macro="" textlink="">
      <xdr:nvSpPr>
        <xdr:cNvPr id="158" name="Elipse 157">
          <a:extLst>
            <a:ext uri="{FF2B5EF4-FFF2-40B4-BE49-F238E27FC236}">
              <a16:creationId xmlns:a16="http://schemas.microsoft.com/office/drawing/2014/main" id="{3B53A601-CCA5-4D0A-8C5E-BAFC390B488D}"/>
            </a:ext>
          </a:extLst>
        </xdr:cNvPr>
        <xdr:cNvSpPr/>
      </xdr:nvSpPr>
      <xdr:spPr>
        <a:xfrm>
          <a:off x="4902200" y="4500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24</xdr:row>
      <xdr:rowOff>60960</xdr:rowOff>
    </xdr:from>
    <xdr:to>
      <xdr:col>6</xdr:col>
      <xdr:colOff>263525</xdr:colOff>
      <xdr:row>24</xdr:row>
      <xdr:rowOff>106045</xdr:rowOff>
    </xdr:to>
    <xdr:sp macro="" textlink="">
      <xdr:nvSpPr>
        <xdr:cNvPr id="159" name="Elipse 158">
          <a:extLst>
            <a:ext uri="{FF2B5EF4-FFF2-40B4-BE49-F238E27FC236}">
              <a16:creationId xmlns:a16="http://schemas.microsoft.com/office/drawing/2014/main" id="{0ABE8BAC-B643-4532-9633-4A22EDF5F35F}"/>
            </a:ext>
          </a:extLst>
        </xdr:cNvPr>
        <xdr:cNvSpPr/>
      </xdr:nvSpPr>
      <xdr:spPr>
        <a:xfrm>
          <a:off x="4419600" y="4693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25</xdr:row>
      <xdr:rowOff>60960</xdr:rowOff>
    </xdr:from>
    <xdr:to>
      <xdr:col>5</xdr:col>
      <xdr:colOff>263525</xdr:colOff>
      <xdr:row>25</xdr:row>
      <xdr:rowOff>106045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7DDD3BE3-0085-46F7-AB10-63BCC03290E4}"/>
            </a:ext>
          </a:extLst>
        </xdr:cNvPr>
        <xdr:cNvSpPr/>
      </xdr:nvSpPr>
      <xdr:spPr>
        <a:xfrm>
          <a:off x="4902200" y="48869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26</xdr:row>
      <xdr:rowOff>76970</xdr:rowOff>
    </xdr:from>
    <xdr:to>
      <xdr:col>8</xdr:col>
      <xdr:colOff>260600</xdr:colOff>
      <xdr:row>26</xdr:row>
      <xdr:rowOff>122055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CA18BF64-439A-4041-A250-8FCFFFB6B4BB}"/>
            </a:ext>
          </a:extLst>
        </xdr:cNvPr>
        <xdr:cNvSpPr/>
      </xdr:nvSpPr>
      <xdr:spPr>
        <a:xfrm>
          <a:off x="5849697" y="5080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14</xdr:row>
      <xdr:rowOff>76970</xdr:rowOff>
    </xdr:from>
    <xdr:to>
      <xdr:col>8</xdr:col>
      <xdr:colOff>260600</xdr:colOff>
      <xdr:row>14</xdr:row>
      <xdr:rowOff>122055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3EFFBDEC-169A-4396-A616-7DFB9CA8098C}"/>
            </a:ext>
          </a:extLst>
        </xdr:cNvPr>
        <xdr:cNvSpPr/>
      </xdr:nvSpPr>
      <xdr:spPr>
        <a:xfrm>
          <a:off x="5849697" y="277090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</xdr:row>
      <xdr:rowOff>76970</xdr:rowOff>
    </xdr:from>
    <xdr:to>
      <xdr:col>8</xdr:col>
      <xdr:colOff>260600</xdr:colOff>
      <xdr:row>4</xdr:row>
      <xdr:rowOff>122055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5FE13766-4447-49F1-BB5F-8016DF0A2689}"/>
            </a:ext>
          </a:extLst>
        </xdr:cNvPr>
        <xdr:cNvSpPr/>
      </xdr:nvSpPr>
      <xdr:spPr>
        <a:xfrm>
          <a:off x="5849697" y="84666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27</xdr:row>
      <xdr:rowOff>60960</xdr:rowOff>
    </xdr:from>
    <xdr:to>
      <xdr:col>6</xdr:col>
      <xdr:colOff>263525</xdr:colOff>
      <xdr:row>27</xdr:row>
      <xdr:rowOff>106045</xdr:rowOff>
    </xdr:to>
    <xdr:sp macro="" textlink="">
      <xdr:nvSpPr>
        <xdr:cNvPr id="164" name="Elipse 163">
          <a:extLst>
            <a:ext uri="{FF2B5EF4-FFF2-40B4-BE49-F238E27FC236}">
              <a16:creationId xmlns:a16="http://schemas.microsoft.com/office/drawing/2014/main" id="{880A9BD9-908E-4C3C-9D27-9B2641FDE2F7}"/>
            </a:ext>
          </a:extLst>
        </xdr:cNvPr>
        <xdr:cNvSpPr/>
      </xdr:nvSpPr>
      <xdr:spPr>
        <a:xfrm>
          <a:off x="4902200" y="52730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</xdr:row>
      <xdr:rowOff>69273</xdr:rowOff>
    </xdr:from>
    <xdr:to>
      <xdr:col>9</xdr:col>
      <xdr:colOff>260600</xdr:colOff>
      <xdr:row>3</xdr:row>
      <xdr:rowOff>114358</xdr:rowOff>
    </xdr:to>
    <xdr:sp macro="" textlink="">
      <xdr:nvSpPr>
        <xdr:cNvPr id="165" name="Elipse 164">
          <a:extLst>
            <a:ext uri="{FF2B5EF4-FFF2-40B4-BE49-F238E27FC236}">
              <a16:creationId xmlns:a16="http://schemas.microsoft.com/office/drawing/2014/main" id="{7B18EA74-58E1-4313-A6B4-3A37168DDB27}"/>
            </a:ext>
          </a:extLst>
        </xdr:cNvPr>
        <xdr:cNvSpPr/>
      </xdr:nvSpPr>
      <xdr:spPr>
        <a:xfrm>
          <a:off x="6326909" y="646546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28</xdr:row>
      <xdr:rowOff>60960</xdr:rowOff>
    </xdr:from>
    <xdr:to>
      <xdr:col>5</xdr:col>
      <xdr:colOff>263525</xdr:colOff>
      <xdr:row>28</xdr:row>
      <xdr:rowOff>106045</xdr:rowOff>
    </xdr:to>
    <xdr:sp macro="" textlink="">
      <xdr:nvSpPr>
        <xdr:cNvPr id="166" name="Elipse 165">
          <a:extLst>
            <a:ext uri="{FF2B5EF4-FFF2-40B4-BE49-F238E27FC236}">
              <a16:creationId xmlns:a16="http://schemas.microsoft.com/office/drawing/2014/main" id="{907F0D5E-B205-4D58-A4E9-7796D250E4AA}"/>
            </a:ext>
          </a:extLst>
        </xdr:cNvPr>
        <xdr:cNvSpPr/>
      </xdr:nvSpPr>
      <xdr:spPr>
        <a:xfrm>
          <a:off x="4419600" y="54660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29</xdr:row>
      <xdr:rowOff>61576</xdr:rowOff>
    </xdr:from>
    <xdr:to>
      <xdr:col>7</xdr:col>
      <xdr:colOff>252903</xdr:colOff>
      <xdr:row>29</xdr:row>
      <xdr:rowOff>106661</xdr:rowOff>
    </xdr:to>
    <xdr:sp macro="" textlink="">
      <xdr:nvSpPr>
        <xdr:cNvPr id="167" name="Elipse 166">
          <a:extLst>
            <a:ext uri="{FF2B5EF4-FFF2-40B4-BE49-F238E27FC236}">
              <a16:creationId xmlns:a16="http://schemas.microsoft.com/office/drawing/2014/main" id="{51EE8199-93AA-421A-A13E-6F7D40854904}"/>
            </a:ext>
          </a:extLst>
        </xdr:cNvPr>
        <xdr:cNvSpPr/>
      </xdr:nvSpPr>
      <xdr:spPr>
        <a:xfrm>
          <a:off x="5364788" y="564187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30</xdr:row>
      <xdr:rowOff>76970</xdr:rowOff>
    </xdr:from>
    <xdr:to>
      <xdr:col>8</xdr:col>
      <xdr:colOff>260600</xdr:colOff>
      <xdr:row>30</xdr:row>
      <xdr:rowOff>122055</xdr:rowOff>
    </xdr:to>
    <xdr:sp macro="" textlink="">
      <xdr:nvSpPr>
        <xdr:cNvPr id="168" name="Elipse 167">
          <a:extLst>
            <a:ext uri="{FF2B5EF4-FFF2-40B4-BE49-F238E27FC236}">
              <a16:creationId xmlns:a16="http://schemas.microsoft.com/office/drawing/2014/main" id="{32C6217B-ECC6-4CC5-A623-B325BB1C1CBA}"/>
            </a:ext>
          </a:extLst>
        </xdr:cNvPr>
        <xdr:cNvSpPr/>
      </xdr:nvSpPr>
      <xdr:spPr>
        <a:xfrm>
          <a:off x="5849697" y="584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31</xdr:row>
      <xdr:rowOff>60960</xdr:rowOff>
    </xdr:from>
    <xdr:to>
      <xdr:col>6</xdr:col>
      <xdr:colOff>263525</xdr:colOff>
      <xdr:row>31</xdr:row>
      <xdr:rowOff>106045</xdr:rowOff>
    </xdr:to>
    <xdr:sp macro="" textlink="">
      <xdr:nvSpPr>
        <xdr:cNvPr id="169" name="Elipse 168">
          <a:extLst>
            <a:ext uri="{FF2B5EF4-FFF2-40B4-BE49-F238E27FC236}">
              <a16:creationId xmlns:a16="http://schemas.microsoft.com/office/drawing/2014/main" id="{AEBF4AB5-0215-4908-A7A5-3BB09FD5ED24}"/>
            </a:ext>
          </a:extLst>
        </xdr:cNvPr>
        <xdr:cNvSpPr/>
      </xdr:nvSpPr>
      <xdr:spPr>
        <a:xfrm>
          <a:off x="4902200" y="6045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33</xdr:row>
      <xdr:rowOff>60960</xdr:rowOff>
    </xdr:from>
    <xdr:to>
      <xdr:col>6</xdr:col>
      <xdr:colOff>263525</xdr:colOff>
      <xdr:row>33</xdr:row>
      <xdr:rowOff>106045</xdr:rowOff>
    </xdr:to>
    <xdr:sp macro="" textlink="">
      <xdr:nvSpPr>
        <xdr:cNvPr id="171" name="Elipse 170">
          <a:extLst>
            <a:ext uri="{FF2B5EF4-FFF2-40B4-BE49-F238E27FC236}">
              <a16:creationId xmlns:a16="http://schemas.microsoft.com/office/drawing/2014/main" id="{9FD08B09-D2B0-4E64-8439-B2A8B7107331}"/>
            </a:ext>
          </a:extLst>
        </xdr:cNvPr>
        <xdr:cNvSpPr/>
      </xdr:nvSpPr>
      <xdr:spPr>
        <a:xfrm>
          <a:off x="4902200" y="6431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34</xdr:row>
      <xdr:rowOff>60960</xdr:rowOff>
    </xdr:from>
    <xdr:to>
      <xdr:col>5</xdr:col>
      <xdr:colOff>263525</xdr:colOff>
      <xdr:row>34</xdr:row>
      <xdr:rowOff>106045</xdr:rowOff>
    </xdr:to>
    <xdr:sp macro="" textlink="">
      <xdr:nvSpPr>
        <xdr:cNvPr id="172" name="Elipse 171">
          <a:extLst>
            <a:ext uri="{FF2B5EF4-FFF2-40B4-BE49-F238E27FC236}">
              <a16:creationId xmlns:a16="http://schemas.microsoft.com/office/drawing/2014/main" id="{58AB9BC5-DAA2-4A17-BDE0-E595BA81D862}"/>
            </a:ext>
          </a:extLst>
        </xdr:cNvPr>
        <xdr:cNvSpPr/>
      </xdr:nvSpPr>
      <xdr:spPr>
        <a:xfrm>
          <a:off x="4419600" y="6624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35</xdr:row>
      <xdr:rowOff>60960</xdr:rowOff>
    </xdr:from>
    <xdr:to>
      <xdr:col>6</xdr:col>
      <xdr:colOff>263525</xdr:colOff>
      <xdr:row>35</xdr:row>
      <xdr:rowOff>106045</xdr:rowOff>
    </xdr:to>
    <xdr:sp macro="" textlink="">
      <xdr:nvSpPr>
        <xdr:cNvPr id="173" name="Elipse 172">
          <a:extLst>
            <a:ext uri="{FF2B5EF4-FFF2-40B4-BE49-F238E27FC236}">
              <a16:creationId xmlns:a16="http://schemas.microsoft.com/office/drawing/2014/main" id="{03A69967-D520-4D6D-9639-5A9B7D8ACDAB}"/>
            </a:ext>
          </a:extLst>
        </xdr:cNvPr>
        <xdr:cNvSpPr/>
      </xdr:nvSpPr>
      <xdr:spPr>
        <a:xfrm>
          <a:off x="4902200" y="68173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36</xdr:row>
      <xdr:rowOff>60960</xdr:rowOff>
    </xdr:from>
    <xdr:to>
      <xdr:col>5</xdr:col>
      <xdr:colOff>263525</xdr:colOff>
      <xdr:row>36</xdr:row>
      <xdr:rowOff>106045</xdr:rowOff>
    </xdr:to>
    <xdr:sp macro="" textlink="">
      <xdr:nvSpPr>
        <xdr:cNvPr id="174" name="Elipse 173">
          <a:extLst>
            <a:ext uri="{FF2B5EF4-FFF2-40B4-BE49-F238E27FC236}">
              <a16:creationId xmlns:a16="http://schemas.microsoft.com/office/drawing/2014/main" id="{D2C53003-6D25-4D1F-9552-A4B70DA0EEB4}"/>
            </a:ext>
          </a:extLst>
        </xdr:cNvPr>
        <xdr:cNvSpPr/>
      </xdr:nvSpPr>
      <xdr:spPr>
        <a:xfrm>
          <a:off x="4419600" y="7010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7</xdr:col>
      <xdr:colOff>207818</xdr:colOff>
      <xdr:row>37</xdr:row>
      <xdr:rowOff>61576</xdr:rowOff>
    </xdr:from>
    <xdr:to>
      <xdr:col>7</xdr:col>
      <xdr:colOff>252903</xdr:colOff>
      <xdr:row>37</xdr:row>
      <xdr:rowOff>106661</xdr:rowOff>
    </xdr:to>
    <xdr:sp macro="" textlink="">
      <xdr:nvSpPr>
        <xdr:cNvPr id="175" name="Elipse 174">
          <a:extLst>
            <a:ext uri="{FF2B5EF4-FFF2-40B4-BE49-F238E27FC236}">
              <a16:creationId xmlns:a16="http://schemas.microsoft.com/office/drawing/2014/main" id="{BA06401D-6010-4123-B6CE-E5F6DC248ED9}"/>
            </a:ext>
          </a:extLst>
        </xdr:cNvPr>
        <xdr:cNvSpPr/>
      </xdr:nvSpPr>
      <xdr:spPr>
        <a:xfrm>
          <a:off x="5364788" y="7181273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38</xdr:row>
      <xdr:rowOff>60960</xdr:rowOff>
    </xdr:from>
    <xdr:to>
      <xdr:col>6</xdr:col>
      <xdr:colOff>263525</xdr:colOff>
      <xdr:row>38</xdr:row>
      <xdr:rowOff>106045</xdr:rowOff>
    </xdr:to>
    <xdr:sp macro="" textlink="">
      <xdr:nvSpPr>
        <xdr:cNvPr id="176" name="Elipse 175">
          <a:extLst>
            <a:ext uri="{FF2B5EF4-FFF2-40B4-BE49-F238E27FC236}">
              <a16:creationId xmlns:a16="http://schemas.microsoft.com/office/drawing/2014/main" id="{68D4D4AC-AEE8-41CD-9597-CF82A4B0C2ED}"/>
            </a:ext>
          </a:extLst>
        </xdr:cNvPr>
        <xdr:cNvSpPr/>
      </xdr:nvSpPr>
      <xdr:spPr>
        <a:xfrm>
          <a:off x="4902200" y="73964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39</xdr:row>
      <xdr:rowOff>60960</xdr:rowOff>
    </xdr:from>
    <xdr:to>
      <xdr:col>5</xdr:col>
      <xdr:colOff>263525</xdr:colOff>
      <xdr:row>39</xdr:row>
      <xdr:rowOff>106045</xdr:rowOff>
    </xdr:to>
    <xdr:sp macro="" textlink="">
      <xdr:nvSpPr>
        <xdr:cNvPr id="177" name="Elipse 176">
          <a:extLst>
            <a:ext uri="{FF2B5EF4-FFF2-40B4-BE49-F238E27FC236}">
              <a16:creationId xmlns:a16="http://schemas.microsoft.com/office/drawing/2014/main" id="{195B4392-7F0E-41B9-8DA0-212BDB3837FA}"/>
            </a:ext>
          </a:extLst>
        </xdr:cNvPr>
        <xdr:cNvSpPr/>
      </xdr:nvSpPr>
      <xdr:spPr>
        <a:xfrm>
          <a:off x="4419600" y="7589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41</xdr:row>
      <xdr:rowOff>60960</xdr:rowOff>
    </xdr:from>
    <xdr:to>
      <xdr:col>6</xdr:col>
      <xdr:colOff>263525</xdr:colOff>
      <xdr:row>41</xdr:row>
      <xdr:rowOff>106045</xdr:rowOff>
    </xdr:to>
    <xdr:sp macro="" textlink="">
      <xdr:nvSpPr>
        <xdr:cNvPr id="179" name="Elipse 178">
          <a:extLst>
            <a:ext uri="{FF2B5EF4-FFF2-40B4-BE49-F238E27FC236}">
              <a16:creationId xmlns:a16="http://schemas.microsoft.com/office/drawing/2014/main" id="{6FD8BA80-49D3-4E23-8702-B2C1530B67AC}"/>
            </a:ext>
          </a:extLst>
        </xdr:cNvPr>
        <xdr:cNvSpPr/>
      </xdr:nvSpPr>
      <xdr:spPr>
        <a:xfrm>
          <a:off x="4902200" y="79756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44</xdr:row>
      <xdr:rowOff>60960</xdr:rowOff>
    </xdr:from>
    <xdr:to>
      <xdr:col>6</xdr:col>
      <xdr:colOff>263525</xdr:colOff>
      <xdr:row>44</xdr:row>
      <xdr:rowOff>106045</xdr:rowOff>
    </xdr:to>
    <xdr:sp macro="" textlink="">
      <xdr:nvSpPr>
        <xdr:cNvPr id="182" name="Elipse 181">
          <a:extLst>
            <a:ext uri="{FF2B5EF4-FFF2-40B4-BE49-F238E27FC236}">
              <a16:creationId xmlns:a16="http://schemas.microsoft.com/office/drawing/2014/main" id="{23442A9E-4D00-4EBA-909E-C724E8CB68EC}"/>
            </a:ext>
          </a:extLst>
        </xdr:cNvPr>
        <xdr:cNvSpPr/>
      </xdr:nvSpPr>
      <xdr:spPr>
        <a:xfrm>
          <a:off x="4902200" y="85547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45</xdr:row>
      <xdr:rowOff>60960</xdr:rowOff>
    </xdr:from>
    <xdr:to>
      <xdr:col>5</xdr:col>
      <xdr:colOff>263525</xdr:colOff>
      <xdr:row>45</xdr:row>
      <xdr:rowOff>106045</xdr:rowOff>
    </xdr:to>
    <xdr:sp macro="" textlink="">
      <xdr:nvSpPr>
        <xdr:cNvPr id="183" name="Elipse 182">
          <a:extLst>
            <a:ext uri="{FF2B5EF4-FFF2-40B4-BE49-F238E27FC236}">
              <a16:creationId xmlns:a16="http://schemas.microsoft.com/office/drawing/2014/main" id="{9F7F755C-279B-45BC-B6E4-40BDE29418B6}"/>
            </a:ext>
          </a:extLst>
        </xdr:cNvPr>
        <xdr:cNvSpPr/>
      </xdr:nvSpPr>
      <xdr:spPr>
        <a:xfrm>
          <a:off x="4419600" y="87477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46</xdr:row>
      <xdr:rowOff>60960</xdr:rowOff>
    </xdr:from>
    <xdr:to>
      <xdr:col>6</xdr:col>
      <xdr:colOff>263525</xdr:colOff>
      <xdr:row>46</xdr:row>
      <xdr:rowOff>106045</xdr:rowOff>
    </xdr:to>
    <xdr:sp macro="" textlink="">
      <xdr:nvSpPr>
        <xdr:cNvPr id="184" name="Elipse 183">
          <a:extLst>
            <a:ext uri="{FF2B5EF4-FFF2-40B4-BE49-F238E27FC236}">
              <a16:creationId xmlns:a16="http://schemas.microsoft.com/office/drawing/2014/main" id="{665B98C4-A423-4DB9-B5A0-1E4EC68EA68F}"/>
            </a:ext>
          </a:extLst>
        </xdr:cNvPr>
        <xdr:cNvSpPr/>
      </xdr:nvSpPr>
      <xdr:spPr>
        <a:xfrm>
          <a:off x="4902200" y="89408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47</xdr:row>
      <xdr:rowOff>60960</xdr:rowOff>
    </xdr:from>
    <xdr:to>
      <xdr:col>5</xdr:col>
      <xdr:colOff>263525</xdr:colOff>
      <xdr:row>47</xdr:row>
      <xdr:rowOff>106045</xdr:rowOff>
    </xdr:to>
    <xdr:sp macro="" textlink="">
      <xdr:nvSpPr>
        <xdr:cNvPr id="185" name="Elipse 184">
          <a:extLst>
            <a:ext uri="{FF2B5EF4-FFF2-40B4-BE49-F238E27FC236}">
              <a16:creationId xmlns:a16="http://schemas.microsoft.com/office/drawing/2014/main" id="{981CFC8A-B58C-4ABC-939C-B1F675C7F18E}"/>
            </a:ext>
          </a:extLst>
        </xdr:cNvPr>
        <xdr:cNvSpPr/>
      </xdr:nvSpPr>
      <xdr:spPr>
        <a:xfrm>
          <a:off x="4419600" y="91338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48</xdr:row>
      <xdr:rowOff>60960</xdr:rowOff>
    </xdr:from>
    <xdr:to>
      <xdr:col>6</xdr:col>
      <xdr:colOff>263525</xdr:colOff>
      <xdr:row>48</xdr:row>
      <xdr:rowOff>106045</xdr:rowOff>
    </xdr:to>
    <xdr:sp macro="" textlink="">
      <xdr:nvSpPr>
        <xdr:cNvPr id="186" name="Elipse 185">
          <a:extLst>
            <a:ext uri="{FF2B5EF4-FFF2-40B4-BE49-F238E27FC236}">
              <a16:creationId xmlns:a16="http://schemas.microsoft.com/office/drawing/2014/main" id="{4CC26760-06E0-4016-9082-7F54F16C792A}"/>
            </a:ext>
          </a:extLst>
        </xdr:cNvPr>
        <xdr:cNvSpPr/>
      </xdr:nvSpPr>
      <xdr:spPr>
        <a:xfrm>
          <a:off x="4902200" y="93268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49</xdr:row>
      <xdr:rowOff>60960</xdr:rowOff>
    </xdr:from>
    <xdr:to>
      <xdr:col>5</xdr:col>
      <xdr:colOff>263525</xdr:colOff>
      <xdr:row>49</xdr:row>
      <xdr:rowOff>106045</xdr:rowOff>
    </xdr:to>
    <xdr:sp macro="" textlink="">
      <xdr:nvSpPr>
        <xdr:cNvPr id="187" name="Elipse 186">
          <a:extLst>
            <a:ext uri="{FF2B5EF4-FFF2-40B4-BE49-F238E27FC236}">
              <a16:creationId xmlns:a16="http://schemas.microsoft.com/office/drawing/2014/main" id="{3B91DB91-AE35-4399-AD27-A01A8A71431C}"/>
            </a:ext>
          </a:extLst>
        </xdr:cNvPr>
        <xdr:cNvSpPr/>
      </xdr:nvSpPr>
      <xdr:spPr>
        <a:xfrm>
          <a:off x="4419600" y="95199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51</xdr:row>
      <xdr:rowOff>60960</xdr:rowOff>
    </xdr:from>
    <xdr:to>
      <xdr:col>6</xdr:col>
      <xdr:colOff>263525</xdr:colOff>
      <xdr:row>51</xdr:row>
      <xdr:rowOff>106045</xdr:rowOff>
    </xdr:to>
    <xdr:sp macro="" textlink="">
      <xdr:nvSpPr>
        <xdr:cNvPr id="189" name="Elipse 188">
          <a:extLst>
            <a:ext uri="{FF2B5EF4-FFF2-40B4-BE49-F238E27FC236}">
              <a16:creationId xmlns:a16="http://schemas.microsoft.com/office/drawing/2014/main" id="{1C5DE66A-A2AC-462D-9998-99A9F6FCBEB2}"/>
            </a:ext>
          </a:extLst>
        </xdr:cNvPr>
        <xdr:cNvSpPr/>
      </xdr:nvSpPr>
      <xdr:spPr>
        <a:xfrm>
          <a:off x="4419600" y="99060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32</xdr:row>
      <xdr:rowOff>69273</xdr:rowOff>
    </xdr:from>
    <xdr:to>
      <xdr:col>9</xdr:col>
      <xdr:colOff>260600</xdr:colOff>
      <xdr:row>32</xdr:row>
      <xdr:rowOff>114358</xdr:rowOff>
    </xdr:to>
    <xdr:sp macro="" textlink="">
      <xdr:nvSpPr>
        <xdr:cNvPr id="190" name="Elipse 189">
          <a:extLst>
            <a:ext uri="{FF2B5EF4-FFF2-40B4-BE49-F238E27FC236}">
              <a16:creationId xmlns:a16="http://schemas.microsoft.com/office/drawing/2014/main" id="{421FF8E7-C251-43A4-BC86-262261B23225}"/>
            </a:ext>
          </a:extLst>
        </xdr:cNvPr>
        <xdr:cNvSpPr/>
      </xdr:nvSpPr>
      <xdr:spPr>
        <a:xfrm>
          <a:off x="6326909" y="6226849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16</xdr:row>
      <xdr:rowOff>69273</xdr:rowOff>
    </xdr:from>
    <xdr:to>
      <xdr:col>9</xdr:col>
      <xdr:colOff>260600</xdr:colOff>
      <xdr:row>16</xdr:row>
      <xdr:rowOff>114358</xdr:rowOff>
    </xdr:to>
    <xdr:sp macro="" textlink="">
      <xdr:nvSpPr>
        <xdr:cNvPr id="191" name="Elipse 190">
          <a:extLst>
            <a:ext uri="{FF2B5EF4-FFF2-40B4-BE49-F238E27FC236}">
              <a16:creationId xmlns:a16="http://schemas.microsoft.com/office/drawing/2014/main" id="{406CE2F5-5EFC-4846-87E5-329A5DBE1354}"/>
            </a:ext>
          </a:extLst>
        </xdr:cNvPr>
        <xdr:cNvSpPr/>
      </xdr:nvSpPr>
      <xdr:spPr>
        <a:xfrm>
          <a:off x="6326909" y="314806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42</xdr:row>
      <xdr:rowOff>69273</xdr:rowOff>
    </xdr:from>
    <xdr:to>
      <xdr:col>9</xdr:col>
      <xdr:colOff>260600</xdr:colOff>
      <xdr:row>42</xdr:row>
      <xdr:rowOff>114358</xdr:rowOff>
    </xdr:to>
    <xdr:sp macro="" textlink="">
      <xdr:nvSpPr>
        <xdr:cNvPr id="192" name="Elipse 191">
          <a:extLst>
            <a:ext uri="{FF2B5EF4-FFF2-40B4-BE49-F238E27FC236}">
              <a16:creationId xmlns:a16="http://schemas.microsoft.com/office/drawing/2014/main" id="{1987A1EB-BAA1-4A36-B23D-FA33D5D1BEE6}"/>
            </a:ext>
          </a:extLst>
        </xdr:cNvPr>
        <xdr:cNvSpPr/>
      </xdr:nvSpPr>
      <xdr:spPr>
        <a:xfrm>
          <a:off x="6326909" y="8151091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9</xdr:col>
      <xdr:colOff>215515</xdr:colOff>
      <xdr:row>52</xdr:row>
      <xdr:rowOff>69273</xdr:rowOff>
    </xdr:from>
    <xdr:to>
      <xdr:col>9</xdr:col>
      <xdr:colOff>260600</xdr:colOff>
      <xdr:row>52</xdr:row>
      <xdr:rowOff>114358</xdr:rowOff>
    </xdr:to>
    <xdr:sp macro="" textlink="">
      <xdr:nvSpPr>
        <xdr:cNvPr id="193" name="Elipse 192">
          <a:extLst>
            <a:ext uri="{FF2B5EF4-FFF2-40B4-BE49-F238E27FC236}">
              <a16:creationId xmlns:a16="http://schemas.microsoft.com/office/drawing/2014/main" id="{4DEF302F-F956-4F3A-AE72-421C160D9158}"/>
            </a:ext>
          </a:extLst>
        </xdr:cNvPr>
        <xdr:cNvSpPr/>
      </xdr:nvSpPr>
      <xdr:spPr>
        <a:xfrm>
          <a:off x="6326909" y="10075334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54</xdr:row>
      <xdr:rowOff>60960</xdr:rowOff>
    </xdr:from>
    <xdr:to>
      <xdr:col>6</xdr:col>
      <xdr:colOff>263525</xdr:colOff>
      <xdr:row>54</xdr:row>
      <xdr:rowOff>106045</xdr:rowOff>
    </xdr:to>
    <xdr:sp macro="" textlink="">
      <xdr:nvSpPr>
        <xdr:cNvPr id="195" name="Elipse 194">
          <a:extLst>
            <a:ext uri="{FF2B5EF4-FFF2-40B4-BE49-F238E27FC236}">
              <a16:creationId xmlns:a16="http://schemas.microsoft.com/office/drawing/2014/main" id="{4877DDCE-DD6D-4965-8AEA-7700D85835A5}"/>
            </a:ext>
          </a:extLst>
        </xdr:cNvPr>
        <xdr:cNvSpPr/>
      </xdr:nvSpPr>
      <xdr:spPr>
        <a:xfrm>
          <a:off x="4902200" y="104851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55</xdr:row>
      <xdr:rowOff>60960</xdr:rowOff>
    </xdr:from>
    <xdr:to>
      <xdr:col>5</xdr:col>
      <xdr:colOff>263525</xdr:colOff>
      <xdr:row>55</xdr:row>
      <xdr:rowOff>106045</xdr:rowOff>
    </xdr:to>
    <xdr:sp macro="" textlink="">
      <xdr:nvSpPr>
        <xdr:cNvPr id="196" name="Elipse 195">
          <a:extLst>
            <a:ext uri="{FF2B5EF4-FFF2-40B4-BE49-F238E27FC236}">
              <a16:creationId xmlns:a16="http://schemas.microsoft.com/office/drawing/2014/main" id="{10CD6696-3A52-40F2-9916-11495EE9055D}"/>
            </a:ext>
          </a:extLst>
        </xdr:cNvPr>
        <xdr:cNvSpPr/>
      </xdr:nvSpPr>
      <xdr:spPr>
        <a:xfrm>
          <a:off x="4419600" y="1067816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56</xdr:row>
      <xdr:rowOff>60960</xdr:rowOff>
    </xdr:from>
    <xdr:to>
      <xdr:col>6</xdr:col>
      <xdr:colOff>263525</xdr:colOff>
      <xdr:row>56</xdr:row>
      <xdr:rowOff>106045</xdr:rowOff>
    </xdr:to>
    <xdr:sp macro="" textlink="">
      <xdr:nvSpPr>
        <xdr:cNvPr id="197" name="Elipse 196">
          <a:extLst>
            <a:ext uri="{FF2B5EF4-FFF2-40B4-BE49-F238E27FC236}">
              <a16:creationId xmlns:a16="http://schemas.microsoft.com/office/drawing/2014/main" id="{50EFD2CC-EC7E-41A5-80DE-276688533C66}"/>
            </a:ext>
          </a:extLst>
        </xdr:cNvPr>
        <xdr:cNvSpPr/>
      </xdr:nvSpPr>
      <xdr:spPr>
        <a:xfrm>
          <a:off x="4902200" y="108712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57</xdr:row>
      <xdr:rowOff>60960</xdr:rowOff>
    </xdr:from>
    <xdr:to>
      <xdr:col>5</xdr:col>
      <xdr:colOff>263525</xdr:colOff>
      <xdr:row>57</xdr:row>
      <xdr:rowOff>106045</xdr:rowOff>
    </xdr:to>
    <xdr:sp macro="" textlink="">
      <xdr:nvSpPr>
        <xdr:cNvPr id="198" name="Elipse 197">
          <a:extLst>
            <a:ext uri="{FF2B5EF4-FFF2-40B4-BE49-F238E27FC236}">
              <a16:creationId xmlns:a16="http://schemas.microsoft.com/office/drawing/2014/main" id="{50939630-C49F-428D-9C17-D2801F1CFF5C}"/>
            </a:ext>
          </a:extLst>
        </xdr:cNvPr>
        <xdr:cNvSpPr/>
      </xdr:nvSpPr>
      <xdr:spPr>
        <a:xfrm>
          <a:off x="4419600" y="110642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58</xdr:row>
      <xdr:rowOff>60960</xdr:rowOff>
    </xdr:from>
    <xdr:to>
      <xdr:col>6</xdr:col>
      <xdr:colOff>263525</xdr:colOff>
      <xdr:row>58</xdr:row>
      <xdr:rowOff>106045</xdr:rowOff>
    </xdr:to>
    <xdr:sp macro="" textlink="">
      <xdr:nvSpPr>
        <xdr:cNvPr id="199" name="Elipse 198">
          <a:extLst>
            <a:ext uri="{FF2B5EF4-FFF2-40B4-BE49-F238E27FC236}">
              <a16:creationId xmlns:a16="http://schemas.microsoft.com/office/drawing/2014/main" id="{D28850EC-7192-4C29-A644-605202C1866C}"/>
            </a:ext>
          </a:extLst>
        </xdr:cNvPr>
        <xdr:cNvSpPr/>
      </xdr:nvSpPr>
      <xdr:spPr>
        <a:xfrm>
          <a:off x="4902200" y="1125728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59</xdr:row>
      <xdr:rowOff>60960</xdr:rowOff>
    </xdr:from>
    <xdr:to>
      <xdr:col>5</xdr:col>
      <xdr:colOff>263525</xdr:colOff>
      <xdr:row>59</xdr:row>
      <xdr:rowOff>106045</xdr:rowOff>
    </xdr:to>
    <xdr:sp macro="" textlink="">
      <xdr:nvSpPr>
        <xdr:cNvPr id="200" name="Elipse 199">
          <a:extLst>
            <a:ext uri="{FF2B5EF4-FFF2-40B4-BE49-F238E27FC236}">
              <a16:creationId xmlns:a16="http://schemas.microsoft.com/office/drawing/2014/main" id="{236905D6-4E86-4CB0-8571-EA842E236D3E}"/>
            </a:ext>
          </a:extLst>
        </xdr:cNvPr>
        <xdr:cNvSpPr/>
      </xdr:nvSpPr>
      <xdr:spPr>
        <a:xfrm>
          <a:off x="4419600" y="114503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61</xdr:row>
      <xdr:rowOff>60960</xdr:rowOff>
    </xdr:from>
    <xdr:to>
      <xdr:col>6</xdr:col>
      <xdr:colOff>263525</xdr:colOff>
      <xdr:row>61</xdr:row>
      <xdr:rowOff>106045</xdr:rowOff>
    </xdr:to>
    <xdr:sp macro="" textlink="">
      <xdr:nvSpPr>
        <xdr:cNvPr id="202" name="Elipse 201">
          <a:extLst>
            <a:ext uri="{FF2B5EF4-FFF2-40B4-BE49-F238E27FC236}">
              <a16:creationId xmlns:a16="http://schemas.microsoft.com/office/drawing/2014/main" id="{8D268E6A-7C4F-4369-8ADB-736791BDBC73}"/>
            </a:ext>
          </a:extLst>
        </xdr:cNvPr>
        <xdr:cNvSpPr/>
      </xdr:nvSpPr>
      <xdr:spPr>
        <a:xfrm>
          <a:off x="4902200" y="1183640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5</xdr:col>
      <xdr:colOff>218440</xdr:colOff>
      <xdr:row>62</xdr:row>
      <xdr:rowOff>60960</xdr:rowOff>
    </xdr:from>
    <xdr:to>
      <xdr:col>5</xdr:col>
      <xdr:colOff>263525</xdr:colOff>
      <xdr:row>62</xdr:row>
      <xdr:rowOff>106045</xdr:rowOff>
    </xdr:to>
    <xdr:sp macro="" textlink="">
      <xdr:nvSpPr>
        <xdr:cNvPr id="203" name="Elipse 202">
          <a:extLst>
            <a:ext uri="{FF2B5EF4-FFF2-40B4-BE49-F238E27FC236}">
              <a16:creationId xmlns:a16="http://schemas.microsoft.com/office/drawing/2014/main" id="{994497F0-8CC5-4512-8B79-47213C36B957}"/>
            </a:ext>
          </a:extLst>
        </xdr:cNvPr>
        <xdr:cNvSpPr/>
      </xdr:nvSpPr>
      <xdr:spPr>
        <a:xfrm>
          <a:off x="4419600" y="120294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6</xdr:col>
      <xdr:colOff>218440</xdr:colOff>
      <xdr:row>64</xdr:row>
      <xdr:rowOff>60960</xdr:rowOff>
    </xdr:from>
    <xdr:to>
      <xdr:col>6</xdr:col>
      <xdr:colOff>263525</xdr:colOff>
      <xdr:row>64</xdr:row>
      <xdr:rowOff>106045</xdr:rowOff>
    </xdr:to>
    <xdr:sp macro="" textlink="">
      <xdr:nvSpPr>
        <xdr:cNvPr id="206" name="Elipse 205">
          <a:extLst>
            <a:ext uri="{FF2B5EF4-FFF2-40B4-BE49-F238E27FC236}">
              <a16:creationId xmlns:a16="http://schemas.microsoft.com/office/drawing/2014/main" id="{2B096048-595E-4BB3-9BA5-33DD1347FE1C}"/>
            </a:ext>
          </a:extLst>
        </xdr:cNvPr>
        <xdr:cNvSpPr/>
      </xdr:nvSpPr>
      <xdr:spPr>
        <a:xfrm>
          <a:off x="4902200" y="1241552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40</xdr:row>
      <xdr:rowOff>76970</xdr:rowOff>
    </xdr:from>
    <xdr:to>
      <xdr:col>8</xdr:col>
      <xdr:colOff>260600</xdr:colOff>
      <xdr:row>40</xdr:row>
      <xdr:rowOff>122055</xdr:rowOff>
    </xdr:to>
    <xdr:sp macro="" textlink="">
      <xdr:nvSpPr>
        <xdr:cNvPr id="207" name="Elipse 206">
          <a:extLst>
            <a:ext uri="{FF2B5EF4-FFF2-40B4-BE49-F238E27FC236}">
              <a16:creationId xmlns:a16="http://schemas.microsoft.com/office/drawing/2014/main" id="{D4E106D8-4E2D-45CC-BA97-07C8D51C0CBE}"/>
            </a:ext>
          </a:extLst>
        </xdr:cNvPr>
        <xdr:cNvSpPr/>
      </xdr:nvSpPr>
      <xdr:spPr>
        <a:xfrm>
          <a:off x="5849697" y="7773940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43</xdr:row>
      <xdr:rowOff>76970</xdr:rowOff>
    </xdr:from>
    <xdr:to>
      <xdr:col>8</xdr:col>
      <xdr:colOff>260600</xdr:colOff>
      <xdr:row>43</xdr:row>
      <xdr:rowOff>122055</xdr:rowOff>
    </xdr:to>
    <xdr:sp macro="" textlink="">
      <xdr:nvSpPr>
        <xdr:cNvPr id="208" name="Elipse 207">
          <a:extLst>
            <a:ext uri="{FF2B5EF4-FFF2-40B4-BE49-F238E27FC236}">
              <a16:creationId xmlns:a16="http://schemas.microsoft.com/office/drawing/2014/main" id="{AC6693D8-CB04-4FFB-823D-BEB444F6B332}"/>
            </a:ext>
          </a:extLst>
        </xdr:cNvPr>
        <xdr:cNvSpPr/>
      </xdr:nvSpPr>
      <xdr:spPr>
        <a:xfrm>
          <a:off x="5849697" y="835121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50</xdr:row>
      <xdr:rowOff>76970</xdr:rowOff>
    </xdr:from>
    <xdr:to>
      <xdr:col>8</xdr:col>
      <xdr:colOff>260600</xdr:colOff>
      <xdr:row>50</xdr:row>
      <xdr:rowOff>122055</xdr:rowOff>
    </xdr:to>
    <xdr:sp macro="" textlink="">
      <xdr:nvSpPr>
        <xdr:cNvPr id="209" name="Elipse 208">
          <a:extLst>
            <a:ext uri="{FF2B5EF4-FFF2-40B4-BE49-F238E27FC236}">
              <a16:creationId xmlns:a16="http://schemas.microsoft.com/office/drawing/2014/main" id="{FA2393A9-1544-4D22-8E88-8BCA1A2316F4}"/>
            </a:ext>
          </a:extLst>
        </xdr:cNvPr>
        <xdr:cNvSpPr/>
      </xdr:nvSpPr>
      <xdr:spPr>
        <a:xfrm>
          <a:off x="5849697" y="9698182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53</xdr:row>
      <xdr:rowOff>76970</xdr:rowOff>
    </xdr:from>
    <xdr:to>
      <xdr:col>8</xdr:col>
      <xdr:colOff>260600</xdr:colOff>
      <xdr:row>53</xdr:row>
      <xdr:rowOff>122055</xdr:rowOff>
    </xdr:to>
    <xdr:sp macro="" textlink="">
      <xdr:nvSpPr>
        <xdr:cNvPr id="210" name="Elipse 209">
          <a:extLst>
            <a:ext uri="{FF2B5EF4-FFF2-40B4-BE49-F238E27FC236}">
              <a16:creationId xmlns:a16="http://schemas.microsoft.com/office/drawing/2014/main" id="{1FCA901C-9A7A-4C30-BCA7-5C0840A65B5E}"/>
            </a:ext>
          </a:extLst>
        </xdr:cNvPr>
        <xdr:cNvSpPr/>
      </xdr:nvSpPr>
      <xdr:spPr>
        <a:xfrm>
          <a:off x="5849697" y="1027545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60</xdr:row>
      <xdr:rowOff>76970</xdr:rowOff>
    </xdr:from>
    <xdr:to>
      <xdr:col>8</xdr:col>
      <xdr:colOff>260600</xdr:colOff>
      <xdr:row>60</xdr:row>
      <xdr:rowOff>122055</xdr:rowOff>
    </xdr:to>
    <xdr:sp macro="" textlink="">
      <xdr:nvSpPr>
        <xdr:cNvPr id="211" name="Elipse 210">
          <a:extLst>
            <a:ext uri="{FF2B5EF4-FFF2-40B4-BE49-F238E27FC236}">
              <a16:creationId xmlns:a16="http://schemas.microsoft.com/office/drawing/2014/main" id="{49C26E5B-E8D1-4442-BEED-C248952B4C5F}"/>
            </a:ext>
          </a:extLst>
        </xdr:cNvPr>
        <xdr:cNvSpPr/>
      </xdr:nvSpPr>
      <xdr:spPr>
        <a:xfrm>
          <a:off x="5849697" y="11622425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215515</xdr:colOff>
      <xdr:row>63</xdr:row>
      <xdr:rowOff>76970</xdr:rowOff>
    </xdr:from>
    <xdr:to>
      <xdr:col>8</xdr:col>
      <xdr:colOff>260600</xdr:colOff>
      <xdr:row>63</xdr:row>
      <xdr:rowOff>122055</xdr:rowOff>
    </xdr:to>
    <xdr:sp macro="" textlink="">
      <xdr:nvSpPr>
        <xdr:cNvPr id="212" name="Elipse 211">
          <a:extLst>
            <a:ext uri="{FF2B5EF4-FFF2-40B4-BE49-F238E27FC236}">
              <a16:creationId xmlns:a16="http://schemas.microsoft.com/office/drawing/2014/main" id="{43AEB571-F85C-4890-9331-AC2610E1AE86}"/>
            </a:ext>
          </a:extLst>
        </xdr:cNvPr>
        <xdr:cNvSpPr/>
      </xdr:nvSpPr>
      <xdr:spPr>
        <a:xfrm>
          <a:off x="5849697" y="12199697"/>
          <a:ext cx="45085" cy="45085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O"/>
        </a:p>
      </xdr:txBody>
    </xdr:sp>
    <xdr:clientData/>
  </xdr:twoCellAnchor>
  <xdr:twoCellAnchor>
    <xdr:from>
      <xdr:col>8</xdr:col>
      <xdr:colOff>253997</xdr:colOff>
      <xdr:row>3</xdr:row>
      <xdr:rowOff>75876</xdr:rowOff>
    </xdr:from>
    <xdr:to>
      <xdr:col>9</xdr:col>
      <xdr:colOff>253997</xdr:colOff>
      <xdr:row>4</xdr:row>
      <xdr:rowOff>83573</xdr:rowOff>
    </xdr:to>
    <xdr:cxnSp macro="">
      <xdr:nvCxnSpPr>
        <xdr:cNvPr id="217" name="Conector recto 216">
          <a:extLst>
            <a:ext uri="{FF2B5EF4-FFF2-40B4-BE49-F238E27FC236}">
              <a16:creationId xmlns:a16="http://schemas.microsoft.com/office/drawing/2014/main" id="{4D7FE420-8F0B-F4F5-2747-1B05684A1121}"/>
            </a:ext>
          </a:extLst>
        </xdr:cNvPr>
        <xdr:cNvCxnSpPr>
          <a:stCxn id="165" idx="7"/>
          <a:endCxn id="163" idx="7"/>
        </xdr:cNvCxnSpPr>
      </xdr:nvCxnSpPr>
      <xdr:spPr>
        <a:xfrm flipH="1">
          <a:off x="5892797" y="656168"/>
          <a:ext cx="480646" cy="20112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</xdr:row>
      <xdr:rowOff>99513</xdr:rowOff>
    </xdr:from>
    <xdr:to>
      <xdr:col>8</xdr:col>
      <xdr:colOff>215515</xdr:colOff>
      <xdr:row>5</xdr:row>
      <xdr:rowOff>67563</xdr:rowOff>
    </xdr:to>
    <xdr:cxnSp macro="">
      <xdr:nvCxnSpPr>
        <xdr:cNvPr id="219" name="Conector recto 218">
          <a:extLst>
            <a:ext uri="{FF2B5EF4-FFF2-40B4-BE49-F238E27FC236}">
              <a16:creationId xmlns:a16="http://schemas.microsoft.com/office/drawing/2014/main" id="{44CD715A-E26A-B65D-7C9D-54D9BCD9A6C1}"/>
            </a:ext>
          </a:extLst>
        </xdr:cNvPr>
        <xdr:cNvCxnSpPr>
          <a:stCxn id="139" idx="7"/>
          <a:endCxn id="163" idx="2"/>
        </xdr:cNvCxnSpPr>
      </xdr:nvCxnSpPr>
      <xdr:spPr>
        <a:xfrm flipV="1">
          <a:off x="4934430" y="873236"/>
          <a:ext cx="919885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</xdr:row>
      <xdr:rowOff>83503</xdr:rowOff>
    </xdr:from>
    <xdr:to>
      <xdr:col>6</xdr:col>
      <xdr:colOff>263525</xdr:colOff>
      <xdr:row>6</xdr:row>
      <xdr:rowOff>67563</xdr:rowOff>
    </xdr:to>
    <xdr:cxnSp macro="">
      <xdr:nvCxnSpPr>
        <xdr:cNvPr id="221" name="Conector recto 220">
          <a:extLst>
            <a:ext uri="{FF2B5EF4-FFF2-40B4-BE49-F238E27FC236}">
              <a16:creationId xmlns:a16="http://schemas.microsoft.com/office/drawing/2014/main" id="{DA31DE76-800D-7453-F7B0-99C77D314027}"/>
            </a:ext>
          </a:extLst>
        </xdr:cNvPr>
        <xdr:cNvCxnSpPr>
          <a:stCxn id="140" idx="7"/>
          <a:endCxn id="139" idx="6"/>
        </xdr:cNvCxnSpPr>
      </xdr:nvCxnSpPr>
      <xdr:spPr>
        <a:xfrm flipV="1">
          <a:off x="4453784" y="1050657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6</xdr:row>
      <xdr:rowOff>99442</xdr:rowOff>
    </xdr:from>
    <xdr:to>
      <xdr:col>6</xdr:col>
      <xdr:colOff>263525</xdr:colOff>
      <xdr:row>7</xdr:row>
      <xdr:rowOff>91200</xdr:rowOff>
    </xdr:to>
    <xdr:cxnSp macro="">
      <xdr:nvCxnSpPr>
        <xdr:cNvPr id="223" name="Conector recto 222">
          <a:extLst>
            <a:ext uri="{FF2B5EF4-FFF2-40B4-BE49-F238E27FC236}">
              <a16:creationId xmlns:a16="http://schemas.microsoft.com/office/drawing/2014/main" id="{7D1AA300-2005-D14A-72BA-9CA5D06B9D7C}"/>
            </a:ext>
          </a:extLst>
        </xdr:cNvPr>
        <xdr:cNvCxnSpPr>
          <a:stCxn id="141" idx="6"/>
          <a:endCxn id="140" idx="5"/>
        </xdr:cNvCxnSpPr>
      </xdr:nvCxnSpPr>
      <xdr:spPr>
        <a:xfrm flipH="1" flipV="1">
          <a:off x="4453784" y="1260027"/>
          <a:ext cx="487249" cy="1851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7</xdr:row>
      <xdr:rowOff>113742</xdr:rowOff>
    </xdr:from>
    <xdr:to>
      <xdr:col>6</xdr:col>
      <xdr:colOff>240983</xdr:colOff>
      <xdr:row>8</xdr:row>
      <xdr:rowOff>60960</xdr:rowOff>
    </xdr:to>
    <xdr:cxnSp macro="">
      <xdr:nvCxnSpPr>
        <xdr:cNvPr id="225" name="Conector recto 224">
          <a:extLst>
            <a:ext uri="{FF2B5EF4-FFF2-40B4-BE49-F238E27FC236}">
              <a16:creationId xmlns:a16="http://schemas.microsoft.com/office/drawing/2014/main" id="{CD935CC4-C585-BFA4-2E97-C5DB828EE269}"/>
            </a:ext>
          </a:extLst>
        </xdr:cNvPr>
        <xdr:cNvCxnSpPr>
          <a:stCxn id="142" idx="0"/>
          <a:endCxn id="141" idx="4"/>
        </xdr:cNvCxnSpPr>
      </xdr:nvCxnSpPr>
      <xdr:spPr>
        <a:xfrm flipV="1">
          <a:off x="4437845" y="1467757"/>
          <a:ext cx="480646" cy="1406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8</xdr:row>
      <xdr:rowOff>83503</xdr:rowOff>
    </xdr:from>
    <xdr:to>
      <xdr:col>6</xdr:col>
      <xdr:colOff>256922</xdr:colOff>
      <xdr:row>9</xdr:row>
      <xdr:rowOff>67563</xdr:rowOff>
    </xdr:to>
    <xdr:cxnSp macro="">
      <xdr:nvCxnSpPr>
        <xdr:cNvPr id="227" name="Conector recto 226">
          <a:extLst>
            <a:ext uri="{FF2B5EF4-FFF2-40B4-BE49-F238E27FC236}">
              <a16:creationId xmlns:a16="http://schemas.microsoft.com/office/drawing/2014/main" id="{5F7F85CF-D4CB-6396-4B0A-32ED1D91493C}"/>
            </a:ext>
          </a:extLst>
        </xdr:cNvPr>
        <xdr:cNvCxnSpPr>
          <a:stCxn id="143" idx="7"/>
          <a:endCxn id="142" idx="6"/>
        </xdr:cNvCxnSpPr>
      </xdr:nvCxnSpPr>
      <xdr:spPr>
        <a:xfrm flipH="1" flipV="1">
          <a:off x="4460387" y="1630949"/>
          <a:ext cx="474043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9</xdr:row>
      <xdr:rowOff>99442</xdr:rowOff>
    </xdr:from>
    <xdr:to>
      <xdr:col>6</xdr:col>
      <xdr:colOff>256922</xdr:colOff>
      <xdr:row>10</xdr:row>
      <xdr:rowOff>67563</xdr:rowOff>
    </xdr:to>
    <xdr:cxnSp macro="">
      <xdr:nvCxnSpPr>
        <xdr:cNvPr id="229" name="Conector recto 228">
          <a:extLst>
            <a:ext uri="{FF2B5EF4-FFF2-40B4-BE49-F238E27FC236}">
              <a16:creationId xmlns:a16="http://schemas.microsoft.com/office/drawing/2014/main" id="{4AD2B703-D372-C93C-3C59-AE644067D827}"/>
            </a:ext>
          </a:extLst>
        </xdr:cNvPr>
        <xdr:cNvCxnSpPr>
          <a:stCxn id="144" idx="7"/>
          <a:endCxn id="143" idx="5"/>
        </xdr:cNvCxnSpPr>
      </xdr:nvCxnSpPr>
      <xdr:spPr>
        <a:xfrm flipV="1">
          <a:off x="4453784" y="18403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10</xdr:row>
      <xdr:rowOff>67563</xdr:rowOff>
    </xdr:from>
    <xdr:to>
      <xdr:col>6</xdr:col>
      <xdr:colOff>240983</xdr:colOff>
      <xdr:row>11</xdr:row>
      <xdr:rowOff>60960</xdr:rowOff>
    </xdr:to>
    <xdr:cxnSp macro="">
      <xdr:nvCxnSpPr>
        <xdr:cNvPr id="232" name="Conector recto 231">
          <a:extLst>
            <a:ext uri="{FF2B5EF4-FFF2-40B4-BE49-F238E27FC236}">
              <a16:creationId xmlns:a16="http://schemas.microsoft.com/office/drawing/2014/main" id="{1032A80A-1A1C-3CF4-F281-BB25B5B00EAB}"/>
            </a:ext>
          </a:extLst>
        </xdr:cNvPr>
        <xdr:cNvCxnSpPr>
          <a:stCxn id="145" idx="0"/>
          <a:endCxn id="144" idx="6"/>
        </xdr:cNvCxnSpPr>
      </xdr:nvCxnSpPr>
      <xdr:spPr>
        <a:xfrm flipH="1" flipV="1">
          <a:off x="4453784" y="2001871"/>
          <a:ext cx="464707" cy="18682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11</xdr:row>
      <xdr:rowOff>106045</xdr:rowOff>
    </xdr:from>
    <xdr:to>
      <xdr:col>6</xdr:col>
      <xdr:colOff>240983</xdr:colOff>
      <xdr:row>12</xdr:row>
      <xdr:rowOff>99442</xdr:rowOff>
    </xdr:to>
    <xdr:cxnSp macro="">
      <xdr:nvCxnSpPr>
        <xdr:cNvPr id="234" name="Conector recto 233">
          <a:extLst>
            <a:ext uri="{FF2B5EF4-FFF2-40B4-BE49-F238E27FC236}">
              <a16:creationId xmlns:a16="http://schemas.microsoft.com/office/drawing/2014/main" id="{89DF5CFE-153E-3650-8A0B-0320794E60A4}"/>
            </a:ext>
          </a:extLst>
        </xdr:cNvPr>
        <xdr:cNvCxnSpPr>
          <a:stCxn id="146" idx="5"/>
          <a:endCxn id="145" idx="4"/>
        </xdr:cNvCxnSpPr>
      </xdr:nvCxnSpPr>
      <xdr:spPr>
        <a:xfrm flipV="1">
          <a:off x="4453784" y="2233783"/>
          <a:ext cx="464707" cy="18682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12</xdr:row>
      <xdr:rowOff>99442</xdr:rowOff>
    </xdr:from>
    <xdr:to>
      <xdr:col>6</xdr:col>
      <xdr:colOff>225043</xdr:colOff>
      <xdr:row>13</xdr:row>
      <xdr:rowOff>67563</xdr:rowOff>
    </xdr:to>
    <xdr:cxnSp macro="">
      <xdr:nvCxnSpPr>
        <xdr:cNvPr id="236" name="Conector recto 235">
          <a:extLst>
            <a:ext uri="{FF2B5EF4-FFF2-40B4-BE49-F238E27FC236}">
              <a16:creationId xmlns:a16="http://schemas.microsoft.com/office/drawing/2014/main" id="{C7C102FB-65FA-4122-77FC-6CE401E620E8}"/>
            </a:ext>
          </a:extLst>
        </xdr:cNvPr>
        <xdr:cNvCxnSpPr>
          <a:stCxn id="147" idx="1"/>
          <a:endCxn id="146" idx="5"/>
        </xdr:cNvCxnSpPr>
      </xdr:nvCxnSpPr>
      <xdr:spPr>
        <a:xfrm flipH="1" flipV="1">
          <a:off x="4453784" y="2420611"/>
          <a:ext cx="448767" cy="16155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14</xdr:row>
      <xdr:rowOff>99513</xdr:rowOff>
    </xdr:from>
    <xdr:to>
      <xdr:col>8</xdr:col>
      <xdr:colOff>260600</xdr:colOff>
      <xdr:row>15</xdr:row>
      <xdr:rowOff>83503</xdr:rowOff>
    </xdr:to>
    <xdr:cxnSp macro="">
      <xdr:nvCxnSpPr>
        <xdr:cNvPr id="238" name="Conector recto 237">
          <a:extLst>
            <a:ext uri="{FF2B5EF4-FFF2-40B4-BE49-F238E27FC236}">
              <a16:creationId xmlns:a16="http://schemas.microsoft.com/office/drawing/2014/main" id="{AD8C76EA-7E15-4E83-D71B-ED1C8164D316}"/>
            </a:ext>
          </a:extLst>
        </xdr:cNvPr>
        <xdr:cNvCxnSpPr>
          <a:stCxn id="150" idx="6"/>
          <a:endCxn id="162" idx="6"/>
        </xdr:cNvCxnSpPr>
      </xdr:nvCxnSpPr>
      <xdr:spPr>
        <a:xfrm flipV="1">
          <a:off x="4941033" y="2807544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13</xdr:row>
      <xdr:rowOff>83503</xdr:rowOff>
    </xdr:from>
    <xdr:to>
      <xdr:col>8</xdr:col>
      <xdr:colOff>253997</xdr:colOff>
      <xdr:row>14</xdr:row>
      <xdr:rowOff>115452</xdr:rowOff>
    </xdr:to>
    <xdr:cxnSp macro="">
      <xdr:nvCxnSpPr>
        <xdr:cNvPr id="240" name="Conector recto 239">
          <a:extLst>
            <a:ext uri="{FF2B5EF4-FFF2-40B4-BE49-F238E27FC236}">
              <a16:creationId xmlns:a16="http://schemas.microsoft.com/office/drawing/2014/main" id="{8173A8CB-CDB1-6813-2F87-536B44275928}"/>
            </a:ext>
          </a:extLst>
        </xdr:cNvPr>
        <xdr:cNvCxnSpPr>
          <a:stCxn id="147" idx="6"/>
          <a:endCxn id="162" idx="5"/>
        </xdr:cNvCxnSpPr>
      </xdr:nvCxnSpPr>
      <xdr:spPr>
        <a:xfrm>
          <a:off x="4941033" y="2598103"/>
          <a:ext cx="951764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15</xdr:row>
      <xdr:rowOff>83503</xdr:rowOff>
    </xdr:from>
    <xdr:to>
      <xdr:col>9</xdr:col>
      <xdr:colOff>253997</xdr:colOff>
      <xdr:row>16</xdr:row>
      <xdr:rowOff>107755</xdr:rowOff>
    </xdr:to>
    <xdr:cxnSp macro="">
      <xdr:nvCxnSpPr>
        <xdr:cNvPr id="242" name="Conector recto 241">
          <a:extLst>
            <a:ext uri="{FF2B5EF4-FFF2-40B4-BE49-F238E27FC236}">
              <a16:creationId xmlns:a16="http://schemas.microsoft.com/office/drawing/2014/main" id="{5E95D61B-34FF-DCC4-4550-29A964921E29}"/>
            </a:ext>
          </a:extLst>
        </xdr:cNvPr>
        <xdr:cNvCxnSpPr>
          <a:stCxn id="191" idx="5"/>
          <a:endCxn id="150" idx="5"/>
        </xdr:cNvCxnSpPr>
      </xdr:nvCxnSpPr>
      <xdr:spPr>
        <a:xfrm flipH="1" flipV="1">
          <a:off x="4941033" y="2984965"/>
          <a:ext cx="1432410" cy="21768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17</xdr:row>
      <xdr:rowOff>91200</xdr:rowOff>
    </xdr:from>
    <xdr:to>
      <xdr:col>8</xdr:col>
      <xdr:colOff>218440</xdr:colOff>
      <xdr:row>18</xdr:row>
      <xdr:rowOff>99442</xdr:rowOff>
    </xdr:to>
    <xdr:cxnSp macro="">
      <xdr:nvCxnSpPr>
        <xdr:cNvPr id="246" name="Conector recto 245">
          <a:extLst>
            <a:ext uri="{FF2B5EF4-FFF2-40B4-BE49-F238E27FC236}">
              <a16:creationId xmlns:a16="http://schemas.microsoft.com/office/drawing/2014/main" id="{69CADDF0-08A2-C8AF-540F-FD5F8E167C4D}"/>
            </a:ext>
          </a:extLst>
        </xdr:cNvPr>
        <xdr:cNvCxnSpPr>
          <a:stCxn id="153" idx="3"/>
          <a:endCxn id="152" idx="2"/>
        </xdr:cNvCxnSpPr>
      </xdr:nvCxnSpPr>
      <xdr:spPr>
        <a:xfrm flipV="1">
          <a:off x="4900524" y="3289719"/>
          <a:ext cx="952953" cy="1963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18</xdr:row>
      <xdr:rowOff>99442</xdr:rowOff>
    </xdr:from>
    <xdr:to>
      <xdr:col>6</xdr:col>
      <xdr:colOff>225043</xdr:colOff>
      <xdr:row>19</xdr:row>
      <xdr:rowOff>67563</xdr:rowOff>
    </xdr:to>
    <xdr:cxnSp macro="">
      <xdr:nvCxnSpPr>
        <xdr:cNvPr id="248" name="Conector recto 247">
          <a:extLst>
            <a:ext uri="{FF2B5EF4-FFF2-40B4-BE49-F238E27FC236}">
              <a16:creationId xmlns:a16="http://schemas.microsoft.com/office/drawing/2014/main" id="{75ABCDB5-69AE-6D6E-27A0-63C57E35A24F}"/>
            </a:ext>
          </a:extLst>
        </xdr:cNvPr>
        <xdr:cNvCxnSpPr>
          <a:stCxn id="154" idx="7"/>
          <a:endCxn id="153" idx="3"/>
        </xdr:cNvCxnSpPr>
      </xdr:nvCxnSpPr>
      <xdr:spPr>
        <a:xfrm flipV="1">
          <a:off x="4452626" y="3486109"/>
          <a:ext cx="447898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19</xdr:row>
      <xdr:rowOff>106045</xdr:rowOff>
    </xdr:from>
    <xdr:to>
      <xdr:col>6</xdr:col>
      <xdr:colOff>225043</xdr:colOff>
      <xdr:row>20</xdr:row>
      <xdr:rowOff>67563</xdr:rowOff>
    </xdr:to>
    <xdr:cxnSp macro="">
      <xdr:nvCxnSpPr>
        <xdr:cNvPr id="250" name="Conector recto 249">
          <a:extLst>
            <a:ext uri="{FF2B5EF4-FFF2-40B4-BE49-F238E27FC236}">
              <a16:creationId xmlns:a16="http://schemas.microsoft.com/office/drawing/2014/main" id="{599DBC17-811D-AD24-C6CE-1744938DEBF2}"/>
            </a:ext>
          </a:extLst>
        </xdr:cNvPr>
        <xdr:cNvCxnSpPr>
          <a:stCxn id="155" idx="1"/>
          <a:endCxn id="154" idx="4"/>
        </xdr:cNvCxnSpPr>
      </xdr:nvCxnSpPr>
      <xdr:spPr>
        <a:xfrm flipH="1" flipV="1">
          <a:off x="4436687" y="3680860"/>
          <a:ext cx="463837" cy="14966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21</xdr:row>
      <xdr:rowOff>67563</xdr:rowOff>
    </xdr:from>
    <xdr:to>
      <xdr:col>6</xdr:col>
      <xdr:colOff>240983</xdr:colOff>
      <xdr:row>22</xdr:row>
      <xdr:rowOff>106045</xdr:rowOff>
    </xdr:to>
    <xdr:cxnSp macro="">
      <xdr:nvCxnSpPr>
        <xdr:cNvPr id="252" name="Conector recto 251">
          <a:extLst>
            <a:ext uri="{FF2B5EF4-FFF2-40B4-BE49-F238E27FC236}">
              <a16:creationId xmlns:a16="http://schemas.microsoft.com/office/drawing/2014/main" id="{E4BF993F-444E-1E92-4E88-042CD0404447}"/>
            </a:ext>
          </a:extLst>
        </xdr:cNvPr>
        <xdr:cNvCxnSpPr>
          <a:stCxn id="157" idx="4"/>
          <a:endCxn id="156" idx="1"/>
        </xdr:cNvCxnSpPr>
      </xdr:nvCxnSpPr>
      <xdr:spPr>
        <a:xfrm flipH="1" flipV="1">
          <a:off x="4420747" y="4018674"/>
          <a:ext cx="495717" cy="22663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20</xdr:row>
      <xdr:rowOff>99442</xdr:rowOff>
    </xdr:from>
    <xdr:to>
      <xdr:col>6</xdr:col>
      <xdr:colOff>256922</xdr:colOff>
      <xdr:row>21</xdr:row>
      <xdr:rowOff>67563</xdr:rowOff>
    </xdr:to>
    <xdr:cxnSp macro="">
      <xdr:nvCxnSpPr>
        <xdr:cNvPr id="254" name="Conector recto 253">
          <a:extLst>
            <a:ext uri="{FF2B5EF4-FFF2-40B4-BE49-F238E27FC236}">
              <a16:creationId xmlns:a16="http://schemas.microsoft.com/office/drawing/2014/main" id="{879E8C7B-CE3E-6262-AA06-B55CDFA6DE5F}"/>
            </a:ext>
          </a:extLst>
        </xdr:cNvPr>
        <xdr:cNvCxnSpPr>
          <a:stCxn id="155" idx="5"/>
          <a:endCxn id="156" idx="7"/>
        </xdr:cNvCxnSpPr>
      </xdr:nvCxnSpPr>
      <xdr:spPr>
        <a:xfrm flipH="1">
          <a:off x="4452626" y="3862405"/>
          <a:ext cx="479777" cy="15626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218440</xdr:colOff>
      <xdr:row>23</xdr:row>
      <xdr:rowOff>83503</xdr:rowOff>
    </xdr:from>
    <xdr:to>
      <xdr:col>6</xdr:col>
      <xdr:colOff>256922</xdr:colOff>
      <xdr:row>24</xdr:row>
      <xdr:rowOff>99442</xdr:rowOff>
    </xdr:to>
    <xdr:cxnSp macro="">
      <xdr:nvCxnSpPr>
        <xdr:cNvPr id="256" name="Conector recto 255">
          <a:extLst>
            <a:ext uri="{FF2B5EF4-FFF2-40B4-BE49-F238E27FC236}">
              <a16:creationId xmlns:a16="http://schemas.microsoft.com/office/drawing/2014/main" id="{7F05E9FB-7514-E6F9-A9D2-8B3497AC748A}"/>
            </a:ext>
          </a:extLst>
        </xdr:cNvPr>
        <xdr:cNvCxnSpPr>
          <a:stCxn id="159" idx="5"/>
          <a:endCxn id="158" idx="2"/>
        </xdr:cNvCxnSpPr>
      </xdr:nvCxnSpPr>
      <xdr:spPr>
        <a:xfrm flipH="1" flipV="1">
          <a:off x="4414144" y="4410910"/>
          <a:ext cx="518259" cy="2040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22</xdr:row>
      <xdr:rowOff>99442</xdr:rowOff>
    </xdr:from>
    <xdr:to>
      <xdr:col>6</xdr:col>
      <xdr:colOff>256922</xdr:colOff>
      <xdr:row>23</xdr:row>
      <xdr:rowOff>99442</xdr:rowOff>
    </xdr:to>
    <xdr:cxnSp macro="">
      <xdr:nvCxnSpPr>
        <xdr:cNvPr id="258" name="Conector recto 257">
          <a:extLst>
            <a:ext uri="{FF2B5EF4-FFF2-40B4-BE49-F238E27FC236}">
              <a16:creationId xmlns:a16="http://schemas.microsoft.com/office/drawing/2014/main" id="{001C3019-08BA-4C84-D015-888D706D2BD4}"/>
            </a:ext>
          </a:extLst>
        </xdr:cNvPr>
        <xdr:cNvCxnSpPr>
          <a:stCxn id="157" idx="5"/>
          <a:endCxn id="158" idx="3"/>
        </xdr:cNvCxnSpPr>
      </xdr:nvCxnSpPr>
      <xdr:spPr>
        <a:xfrm flipH="1">
          <a:off x="4420747" y="4238701"/>
          <a:ext cx="511656" cy="18814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24</xdr:row>
      <xdr:rowOff>83503</xdr:rowOff>
    </xdr:from>
    <xdr:to>
      <xdr:col>6</xdr:col>
      <xdr:colOff>218440</xdr:colOff>
      <xdr:row>25</xdr:row>
      <xdr:rowOff>99442</xdr:rowOff>
    </xdr:to>
    <xdr:cxnSp macro="">
      <xdr:nvCxnSpPr>
        <xdr:cNvPr id="260" name="Conector recto 259">
          <a:extLst>
            <a:ext uri="{FF2B5EF4-FFF2-40B4-BE49-F238E27FC236}">
              <a16:creationId xmlns:a16="http://schemas.microsoft.com/office/drawing/2014/main" id="{9B458CA6-2FCE-15E9-8308-C1BEAC027A0C}"/>
            </a:ext>
          </a:extLst>
        </xdr:cNvPr>
        <xdr:cNvCxnSpPr>
          <a:stCxn id="160" idx="5"/>
          <a:endCxn id="159" idx="2"/>
        </xdr:cNvCxnSpPr>
      </xdr:nvCxnSpPr>
      <xdr:spPr>
        <a:xfrm flipV="1">
          <a:off x="4452626" y="4599059"/>
          <a:ext cx="441295" cy="2040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25</xdr:row>
      <xdr:rowOff>83503</xdr:rowOff>
    </xdr:from>
    <xdr:to>
      <xdr:col>8</xdr:col>
      <xdr:colOff>238058</xdr:colOff>
      <xdr:row>26</xdr:row>
      <xdr:rowOff>122055</xdr:rowOff>
    </xdr:to>
    <xdr:cxnSp macro="">
      <xdr:nvCxnSpPr>
        <xdr:cNvPr id="262" name="Conector recto 261">
          <a:extLst>
            <a:ext uri="{FF2B5EF4-FFF2-40B4-BE49-F238E27FC236}">
              <a16:creationId xmlns:a16="http://schemas.microsoft.com/office/drawing/2014/main" id="{06E08A50-A931-251D-4C5A-EE1607ECA7BA}"/>
            </a:ext>
          </a:extLst>
        </xdr:cNvPr>
        <xdr:cNvCxnSpPr>
          <a:stCxn id="160" idx="6"/>
          <a:endCxn id="161" idx="4"/>
        </xdr:cNvCxnSpPr>
      </xdr:nvCxnSpPr>
      <xdr:spPr>
        <a:xfrm>
          <a:off x="4459229" y="4787207"/>
          <a:ext cx="1413866" cy="2267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26</xdr:row>
      <xdr:rowOff>99513</xdr:rowOff>
    </xdr:from>
    <xdr:to>
      <xdr:col>8</xdr:col>
      <xdr:colOff>260600</xdr:colOff>
      <xdr:row>27</xdr:row>
      <xdr:rowOff>67563</xdr:rowOff>
    </xdr:to>
    <xdr:cxnSp macro="">
      <xdr:nvCxnSpPr>
        <xdr:cNvPr id="264" name="Conector recto 263">
          <a:extLst>
            <a:ext uri="{FF2B5EF4-FFF2-40B4-BE49-F238E27FC236}">
              <a16:creationId xmlns:a16="http://schemas.microsoft.com/office/drawing/2014/main" id="{40FCA3D6-F9E1-3A16-A9AC-1E85C41A0788}"/>
            </a:ext>
          </a:extLst>
        </xdr:cNvPr>
        <xdr:cNvCxnSpPr>
          <a:stCxn id="164" idx="7"/>
          <a:endCxn id="161" idx="6"/>
        </xdr:cNvCxnSpPr>
      </xdr:nvCxnSpPr>
      <xdr:spPr>
        <a:xfrm flipV="1">
          <a:off x="4934430" y="5128713"/>
          <a:ext cx="964970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27</xdr:row>
      <xdr:rowOff>99442</xdr:rowOff>
    </xdr:from>
    <xdr:to>
      <xdr:col>6</xdr:col>
      <xdr:colOff>225043</xdr:colOff>
      <xdr:row>28</xdr:row>
      <xdr:rowOff>99442</xdr:rowOff>
    </xdr:to>
    <xdr:cxnSp macro="">
      <xdr:nvCxnSpPr>
        <xdr:cNvPr id="266" name="Conector recto 265">
          <a:extLst>
            <a:ext uri="{FF2B5EF4-FFF2-40B4-BE49-F238E27FC236}">
              <a16:creationId xmlns:a16="http://schemas.microsoft.com/office/drawing/2014/main" id="{2C8F4F56-779F-F23B-67A7-4635C23E433A}"/>
            </a:ext>
          </a:extLst>
        </xdr:cNvPr>
        <xdr:cNvCxnSpPr>
          <a:stCxn id="166" idx="3"/>
          <a:endCxn id="164" idx="3"/>
        </xdr:cNvCxnSpPr>
      </xdr:nvCxnSpPr>
      <xdr:spPr>
        <a:xfrm flipV="1">
          <a:off x="4421905" y="5322073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28</xdr:row>
      <xdr:rowOff>83503</xdr:rowOff>
    </xdr:from>
    <xdr:to>
      <xdr:col>7</xdr:col>
      <xdr:colOff>252903</xdr:colOff>
      <xdr:row>29</xdr:row>
      <xdr:rowOff>84119</xdr:rowOff>
    </xdr:to>
    <xdr:cxnSp macro="">
      <xdr:nvCxnSpPr>
        <xdr:cNvPr id="268" name="Conector recto 267">
          <a:extLst>
            <a:ext uri="{FF2B5EF4-FFF2-40B4-BE49-F238E27FC236}">
              <a16:creationId xmlns:a16="http://schemas.microsoft.com/office/drawing/2014/main" id="{4B52EBD0-A0E5-DD0E-7602-61FE8DD85281}"/>
            </a:ext>
          </a:extLst>
        </xdr:cNvPr>
        <xdr:cNvCxnSpPr>
          <a:stCxn id="167" idx="6"/>
          <a:endCxn id="166" idx="5"/>
        </xdr:cNvCxnSpPr>
      </xdr:nvCxnSpPr>
      <xdr:spPr>
        <a:xfrm flipH="1" flipV="1">
          <a:off x="4460387" y="5499565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252903</xdr:colOff>
      <xdr:row>29</xdr:row>
      <xdr:rowOff>84119</xdr:rowOff>
    </xdr:from>
    <xdr:to>
      <xdr:col>8</xdr:col>
      <xdr:colOff>260600</xdr:colOff>
      <xdr:row>30</xdr:row>
      <xdr:rowOff>99513</xdr:rowOff>
    </xdr:to>
    <xdr:cxnSp macro="">
      <xdr:nvCxnSpPr>
        <xdr:cNvPr id="270" name="Conector recto 269">
          <a:extLst>
            <a:ext uri="{FF2B5EF4-FFF2-40B4-BE49-F238E27FC236}">
              <a16:creationId xmlns:a16="http://schemas.microsoft.com/office/drawing/2014/main" id="{1E0036D8-0C41-49F4-9611-8F1D0883BFE6}"/>
            </a:ext>
          </a:extLst>
        </xdr:cNvPr>
        <xdr:cNvCxnSpPr>
          <a:stCxn id="168" idx="6"/>
          <a:endCxn id="167" idx="6"/>
        </xdr:cNvCxnSpPr>
      </xdr:nvCxnSpPr>
      <xdr:spPr>
        <a:xfrm flipH="1" flipV="1">
          <a:off x="5411057" y="5693611"/>
          <a:ext cx="488343" cy="2088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30</xdr:row>
      <xdr:rowOff>99513</xdr:rowOff>
    </xdr:from>
    <xdr:to>
      <xdr:col>8</xdr:col>
      <xdr:colOff>260600</xdr:colOff>
      <xdr:row>31</xdr:row>
      <xdr:rowOff>60960</xdr:rowOff>
    </xdr:to>
    <xdr:cxnSp macro="">
      <xdr:nvCxnSpPr>
        <xdr:cNvPr id="272" name="Conector recto 271">
          <a:extLst>
            <a:ext uri="{FF2B5EF4-FFF2-40B4-BE49-F238E27FC236}">
              <a16:creationId xmlns:a16="http://schemas.microsoft.com/office/drawing/2014/main" id="{395D1966-674B-0614-BB8B-FEC8067C56BB}"/>
            </a:ext>
          </a:extLst>
        </xdr:cNvPr>
        <xdr:cNvCxnSpPr>
          <a:stCxn id="169" idx="0"/>
          <a:endCxn id="168" idx="6"/>
        </xdr:cNvCxnSpPr>
      </xdr:nvCxnSpPr>
      <xdr:spPr>
        <a:xfrm flipV="1">
          <a:off x="4918491" y="5902436"/>
          <a:ext cx="980909" cy="15487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31</xdr:row>
      <xdr:rowOff>83503</xdr:rowOff>
    </xdr:from>
    <xdr:to>
      <xdr:col>9</xdr:col>
      <xdr:colOff>253997</xdr:colOff>
      <xdr:row>32</xdr:row>
      <xdr:rowOff>75876</xdr:rowOff>
    </xdr:to>
    <xdr:cxnSp macro="">
      <xdr:nvCxnSpPr>
        <xdr:cNvPr id="274" name="Conector recto 273">
          <a:extLst>
            <a:ext uri="{FF2B5EF4-FFF2-40B4-BE49-F238E27FC236}">
              <a16:creationId xmlns:a16="http://schemas.microsoft.com/office/drawing/2014/main" id="{F843F0DD-491F-91F0-4413-EAFB66265ADF}"/>
            </a:ext>
          </a:extLst>
        </xdr:cNvPr>
        <xdr:cNvCxnSpPr>
          <a:stCxn id="190" idx="7"/>
          <a:endCxn id="169" idx="6"/>
        </xdr:cNvCxnSpPr>
      </xdr:nvCxnSpPr>
      <xdr:spPr>
        <a:xfrm flipH="1" flipV="1">
          <a:off x="4941033" y="6079857"/>
          <a:ext cx="1432410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32</xdr:row>
      <xdr:rowOff>91816</xdr:rowOff>
    </xdr:from>
    <xdr:to>
      <xdr:col>9</xdr:col>
      <xdr:colOff>260600</xdr:colOff>
      <xdr:row>33</xdr:row>
      <xdr:rowOff>99442</xdr:rowOff>
    </xdr:to>
    <xdr:cxnSp macro="">
      <xdr:nvCxnSpPr>
        <xdr:cNvPr id="276" name="Conector recto 275">
          <a:extLst>
            <a:ext uri="{FF2B5EF4-FFF2-40B4-BE49-F238E27FC236}">
              <a16:creationId xmlns:a16="http://schemas.microsoft.com/office/drawing/2014/main" id="{AAC78AE6-0CA1-3425-D74A-5E65E4742123}"/>
            </a:ext>
          </a:extLst>
        </xdr:cNvPr>
        <xdr:cNvCxnSpPr>
          <a:stCxn id="171" idx="5"/>
          <a:endCxn id="190" idx="6"/>
        </xdr:cNvCxnSpPr>
      </xdr:nvCxnSpPr>
      <xdr:spPr>
        <a:xfrm flipV="1">
          <a:off x="4934430" y="6281601"/>
          <a:ext cx="1445616" cy="20105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33</xdr:row>
      <xdr:rowOff>106045</xdr:rowOff>
    </xdr:from>
    <xdr:to>
      <xdr:col>6</xdr:col>
      <xdr:colOff>240983</xdr:colOff>
      <xdr:row>34</xdr:row>
      <xdr:rowOff>83503</xdr:rowOff>
    </xdr:to>
    <xdr:cxnSp macro="">
      <xdr:nvCxnSpPr>
        <xdr:cNvPr id="278" name="Conector recto 277">
          <a:extLst>
            <a:ext uri="{FF2B5EF4-FFF2-40B4-BE49-F238E27FC236}">
              <a16:creationId xmlns:a16="http://schemas.microsoft.com/office/drawing/2014/main" id="{7072EC1D-6E62-31D2-8142-D3AEC21AF96B}"/>
            </a:ext>
          </a:extLst>
        </xdr:cNvPr>
        <xdr:cNvCxnSpPr>
          <a:stCxn id="172" idx="6"/>
          <a:endCxn id="171" idx="4"/>
        </xdr:cNvCxnSpPr>
      </xdr:nvCxnSpPr>
      <xdr:spPr>
        <a:xfrm flipV="1">
          <a:off x="4460387" y="6489260"/>
          <a:ext cx="458104" cy="17088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34</xdr:row>
      <xdr:rowOff>99442</xdr:rowOff>
    </xdr:from>
    <xdr:to>
      <xdr:col>6</xdr:col>
      <xdr:colOff>263525</xdr:colOff>
      <xdr:row>35</xdr:row>
      <xdr:rowOff>83503</xdr:rowOff>
    </xdr:to>
    <xdr:cxnSp macro="">
      <xdr:nvCxnSpPr>
        <xdr:cNvPr id="280" name="Conector recto 279">
          <a:extLst>
            <a:ext uri="{FF2B5EF4-FFF2-40B4-BE49-F238E27FC236}">
              <a16:creationId xmlns:a16="http://schemas.microsoft.com/office/drawing/2014/main" id="{42195C49-2F4C-3B61-56AE-CF9420B6DA5E}"/>
            </a:ext>
          </a:extLst>
        </xdr:cNvPr>
        <xdr:cNvCxnSpPr>
          <a:stCxn id="173" idx="6"/>
          <a:endCxn id="172" idx="5"/>
        </xdr:cNvCxnSpPr>
      </xdr:nvCxnSpPr>
      <xdr:spPr>
        <a:xfrm flipH="1" flipV="1">
          <a:off x="4453784" y="6676088"/>
          <a:ext cx="487249" cy="17749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35</xdr:row>
      <xdr:rowOff>99442</xdr:rowOff>
    </xdr:from>
    <xdr:to>
      <xdr:col>6</xdr:col>
      <xdr:colOff>225043</xdr:colOff>
      <xdr:row>36</xdr:row>
      <xdr:rowOff>67563</xdr:rowOff>
    </xdr:to>
    <xdr:cxnSp macro="">
      <xdr:nvCxnSpPr>
        <xdr:cNvPr id="282" name="Conector recto 281">
          <a:extLst>
            <a:ext uri="{FF2B5EF4-FFF2-40B4-BE49-F238E27FC236}">
              <a16:creationId xmlns:a16="http://schemas.microsoft.com/office/drawing/2014/main" id="{C5C0E648-5D2C-4759-E8C7-E7140F172858}"/>
            </a:ext>
          </a:extLst>
        </xdr:cNvPr>
        <xdr:cNvCxnSpPr>
          <a:stCxn id="174" idx="1"/>
          <a:endCxn id="173" idx="3"/>
        </xdr:cNvCxnSpPr>
      </xdr:nvCxnSpPr>
      <xdr:spPr>
        <a:xfrm flipV="1">
          <a:off x="4421905" y="6869519"/>
          <a:ext cx="480646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36</xdr:row>
      <xdr:rowOff>83503</xdr:rowOff>
    </xdr:from>
    <xdr:to>
      <xdr:col>7</xdr:col>
      <xdr:colOff>252903</xdr:colOff>
      <xdr:row>37</xdr:row>
      <xdr:rowOff>84119</xdr:rowOff>
    </xdr:to>
    <xdr:cxnSp macro="">
      <xdr:nvCxnSpPr>
        <xdr:cNvPr id="284" name="Conector recto 283">
          <a:extLst>
            <a:ext uri="{FF2B5EF4-FFF2-40B4-BE49-F238E27FC236}">
              <a16:creationId xmlns:a16="http://schemas.microsoft.com/office/drawing/2014/main" id="{F2451EB3-5345-A510-164D-B96FD26F7192}"/>
            </a:ext>
          </a:extLst>
        </xdr:cNvPr>
        <xdr:cNvCxnSpPr>
          <a:stCxn id="175" idx="6"/>
          <a:endCxn id="174" idx="6"/>
        </xdr:cNvCxnSpPr>
      </xdr:nvCxnSpPr>
      <xdr:spPr>
        <a:xfrm flipH="1" flipV="1">
          <a:off x="4460387" y="7047011"/>
          <a:ext cx="950670" cy="1940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37</xdr:row>
      <xdr:rowOff>100058</xdr:rowOff>
    </xdr:from>
    <xdr:to>
      <xdr:col>7</xdr:col>
      <xdr:colOff>246300</xdr:colOff>
      <xdr:row>38</xdr:row>
      <xdr:rowOff>67563</xdr:rowOff>
    </xdr:to>
    <xdr:cxnSp macro="">
      <xdr:nvCxnSpPr>
        <xdr:cNvPr id="286" name="Conector recto 285">
          <a:extLst>
            <a:ext uri="{FF2B5EF4-FFF2-40B4-BE49-F238E27FC236}">
              <a16:creationId xmlns:a16="http://schemas.microsoft.com/office/drawing/2014/main" id="{7E20AE81-3AEF-E579-A2C0-AF7301F7A71F}"/>
            </a:ext>
          </a:extLst>
        </xdr:cNvPr>
        <xdr:cNvCxnSpPr>
          <a:stCxn id="176" idx="7"/>
          <a:endCxn id="175" idx="5"/>
        </xdr:cNvCxnSpPr>
      </xdr:nvCxnSpPr>
      <xdr:spPr>
        <a:xfrm flipV="1">
          <a:off x="4934430" y="7256996"/>
          <a:ext cx="470024" cy="16093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38</xdr:row>
      <xdr:rowOff>106045</xdr:rowOff>
    </xdr:from>
    <xdr:to>
      <xdr:col>6</xdr:col>
      <xdr:colOff>240983</xdr:colOff>
      <xdr:row>39</xdr:row>
      <xdr:rowOff>60960</xdr:rowOff>
    </xdr:to>
    <xdr:cxnSp macro="">
      <xdr:nvCxnSpPr>
        <xdr:cNvPr id="288" name="Conector recto 287">
          <a:extLst>
            <a:ext uri="{FF2B5EF4-FFF2-40B4-BE49-F238E27FC236}">
              <a16:creationId xmlns:a16="http://schemas.microsoft.com/office/drawing/2014/main" id="{C8DFDE0E-0001-4B84-8A93-58DB7370F03C}"/>
            </a:ext>
          </a:extLst>
        </xdr:cNvPr>
        <xdr:cNvCxnSpPr>
          <a:stCxn id="177" idx="0"/>
          <a:endCxn id="176" idx="3"/>
        </xdr:cNvCxnSpPr>
      </xdr:nvCxnSpPr>
      <xdr:spPr>
        <a:xfrm flipV="1">
          <a:off x="4437845" y="7456414"/>
          <a:ext cx="480646" cy="1483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39</xdr:row>
      <xdr:rowOff>106045</xdr:rowOff>
    </xdr:from>
    <xdr:to>
      <xdr:col>8</xdr:col>
      <xdr:colOff>260600</xdr:colOff>
      <xdr:row>40</xdr:row>
      <xdr:rowOff>99513</xdr:rowOff>
    </xdr:to>
    <xdr:cxnSp macro="">
      <xdr:nvCxnSpPr>
        <xdr:cNvPr id="290" name="Conector recto 289">
          <a:extLst>
            <a:ext uri="{FF2B5EF4-FFF2-40B4-BE49-F238E27FC236}">
              <a16:creationId xmlns:a16="http://schemas.microsoft.com/office/drawing/2014/main" id="{48E583C8-3096-D97F-576F-2069DF40F55D}"/>
            </a:ext>
          </a:extLst>
        </xdr:cNvPr>
        <xdr:cNvCxnSpPr>
          <a:stCxn id="207" idx="6"/>
          <a:endCxn id="177" idx="4"/>
        </xdr:cNvCxnSpPr>
      </xdr:nvCxnSpPr>
      <xdr:spPr>
        <a:xfrm flipH="1" flipV="1">
          <a:off x="4437845" y="7649845"/>
          <a:ext cx="1461555" cy="18689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40</xdr:row>
      <xdr:rowOff>99513</xdr:rowOff>
    </xdr:from>
    <xdr:to>
      <xdr:col>8</xdr:col>
      <xdr:colOff>260600</xdr:colOff>
      <xdr:row>41</xdr:row>
      <xdr:rowOff>67563</xdr:rowOff>
    </xdr:to>
    <xdr:cxnSp macro="">
      <xdr:nvCxnSpPr>
        <xdr:cNvPr id="292" name="Conector recto 291">
          <a:extLst>
            <a:ext uri="{FF2B5EF4-FFF2-40B4-BE49-F238E27FC236}">
              <a16:creationId xmlns:a16="http://schemas.microsoft.com/office/drawing/2014/main" id="{DDCD315B-F6F7-06A7-1542-C4531943689F}"/>
            </a:ext>
          </a:extLst>
        </xdr:cNvPr>
        <xdr:cNvCxnSpPr>
          <a:stCxn id="179" idx="1"/>
          <a:endCxn id="207" idx="6"/>
        </xdr:cNvCxnSpPr>
      </xdr:nvCxnSpPr>
      <xdr:spPr>
        <a:xfrm flipV="1">
          <a:off x="4902551" y="7836744"/>
          <a:ext cx="996849" cy="16148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253997</xdr:colOff>
      <xdr:row>42</xdr:row>
      <xdr:rowOff>107755</xdr:rowOff>
    </xdr:from>
    <xdr:to>
      <xdr:col>9</xdr:col>
      <xdr:colOff>222118</xdr:colOff>
      <xdr:row>43</xdr:row>
      <xdr:rowOff>83573</xdr:rowOff>
    </xdr:to>
    <xdr:cxnSp macro="">
      <xdr:nvCxnSpPr>
        <xdr:cNvPr id="294" name="Conector recto 293">
          <a:extLst>
            <a:ext uri="{FF2B5EF4-FFF2-40B4-BE49-F238E27FC236}">
              <a16:creationId xmlns:a16="http://schemas.microsoft.com/office/drawing/2014/main" id="{DA3F04FF-ABE0-C402-EF18-6B064B8FB157}"/>
            </a:ext>
          </a:extLst>
        </xdr:cNvPr>
        <xdr:cNvCxnSpPr>
          <a:stCxn id="208" idx="7"/>
          <a:endCxn id="192" idx="3"/>
        </xdr:cNvCxnSpPr>
      </xdr:nvCxnSpPr>
      <xdr:spPr>
        <a:xfrm flipV="1">
          <a:off x="5892797" y="8231847"/>
          <a:ext cx="448767" cy="1692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41</xdr:row>
      <xdr:rowOff>99442</xdr:rowOff>
    </xdr:from>
    <xdr:to>
      <xdr:col>9</xdr:col>
      <xdr:colOff>215515</xdr:colOff>
      <xdr:row>42</xdr:row>
      <xdr:rowOff>91816</xdr:rowOff>
    </xdr:to>
    <xdr:cxnSp macro="">
      <xdr:nvCxnSpPr>
        <xdr:cNvPr id="296" name="Conector recto 295">
          <a:extLst>
            <a:ext uri="{FF2B5EF4-FFF2-40B4-BE49-F238E27FC236}">
              <a16:creationId xmlns:a16="http://schemas.microsoft.com/office/drawing/2014/main" id="{3927E58F-5E02-A319-E7FF-2EED89F995E4}"/>
            </a:ext>
          </a:extLst>
        </xdr:cNvPr>
        <xdr:cNvCxnSpPr>
          <a:stCxn id="179" idx="5"/>
          <a:endCxn id="192" idx="3"/>
        </xdr:cNvCxnSpPr>
      </xdr:nvCxnSpPr>
      <xdr:spPr>
        <a:xfrm>
          <a:off x="4934430" y="8030104"/>
          <a:ext cx="1400531" cy="1858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63</xdr:row>
      <xdr:rowOff>99513</xdr:rowOff>
    </xdr:from>
    <xdr:to>
      <xdr:col>8</xdr:col>
      <xdr:colOff>260600</xdr:colOff>
      <xdr:row>64</xdr:row>
      <xdr:rowOff>83503</xdr:rowOff>
    </xdr:to>
    <xdr:cxnSp macro="">
      <xdr:nvCxnSpPr>
        <xdr:cNvPr id="298" name="Conector recto 297">
          <a:extLst>
            <a:ext uri="{FF2B5EF4-FFF2-40B4-BE49-F238E27FC236}">
              <a16:creationId xmlns:a16="http://schemas.microsoft.com/office/drawing/2014/main" id="{D1C2E5F4-A63F-19D6-97FC-851E3ECD823E}"/>
            </a:ext>
          </a:extLst>
        </xdr:cNvPr>
        <xdr:cNvCxnSpPr>
          <a:stCxn id="206" idx="6"/>
          <a:endCxn id="212" idx="6"/>
        </xdr:cNvCxnSpPr>
      </xdr:nvCxnSpPr>
      <xdr:spPr>
        <a:xfrm flipV="1">
          <a:off x="4941033" y="12285651"/>
          <a:ext cx="958367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62</xdr:row>
      <xdr:rowOff>67563</xdr:rowOff>
    </xdr:from>
    <xdr:to>
      <xdr:col>8</xdr:col>
      <xdr:colOff>260600</xdr:colOff>
      <xdr:row>63</xdr:row>
      <xdr:rowOff>99513</xdr:rowOff>
    </xdr:to>
    <xdr:cxnSp macro="">
      <xdr:nvCxnSpPr>
        <xdr:cNvPr id="300" name="Conector recto 299">
          <a:extLst>
            <a:ext uri="{FF2B5EF4-FFF2-40B4-BE49-F238E27FC236}">
              <a16:creationId xmlns:a16="http://schemas.microsoft.com/office/drawing/2014/main" id="{F0A6142A-6181-5A14-90F5-8F6D01A5ECB0}"/>
            </a:ext>
          </a:extLst>
        </xdr:cNvPr>
        <xdr:cNvCxnSpPr>
          <a:stCxn id="203" idx="1"/>
          <a:endCxn id="212" idx="6"/>
        </xdr:cNvCxnSpPr>
      </xdr:nvCxnSpPr>
      <xdr:spPr>
        <a:xfrm>
          <a:off x="4421905" y="12060271"/>
          <a:ext cx="1477495" cy="2253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61</xdr:row>
      <xdr:rowOff>83503</xdr:rowOff>
    </xdr:from>
    <xdr:to>
      <xdr:col>6</xdr:col>
      <xdr:colOff>218440</xdr:colOff>
      <xdr:row>62</xdr:row>
      <xdr:rowOff>60960</xdr:rowOff>
    </xdr:to>
    <xdr:cxnSp macro="">
      <xdr:nvCxnSpPr>
        <xdr:cNvPr id="302" name="Conector recto 301">
          <a:extLst>
            <a:ext uri="{FF2B5EF4-FFF2-40B4-BE49-F238E27FC236}">
              <a16:creationId xmlns:a16="http://schemas.microsoft.com/office/drawing/2014/main" id="{936A7BA9-40D7-59C6-C662-F7F1CF2C966F}"/>
            </a:ext>
          </a:extLst>
        </xdr:cNvPr>
        <xdr:cNvCxnSpPr>
          <a:stCxn id="202" idx="2"/>
          <a:endCxn id="203" idx="0"/>
        </xdr:cNvCxnSpPr>
      </xdr:nvCxnSpPr>
      <xdr:spPr>
        <a:xfrm flipH="1">
          <a:off x="4437845" y="11882780"/>
          <a:ext cx="458103" cy="170888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59</xdr:row>
      <xdr:rowOff>67563</xdr:rowOff>
    </xdr:from>
    <xdr:to>
      <xdr:col>8</xdr:col>
      <xdr:colOff>253997</xdr:colOff>
      <xdr:row>60</xdr:row>
      <xdr:rowOff>115452</xdr:rowOff>
    </xdr:to>
    <xdr:cxnSp macro="">
      <xdr:nvCxnSpPr>
        <xdr:cNvPr id="304" name="Conector recto 303">
          <a:extLst>
            <a:ext uri="{FF2B5EF4-FFF2-40B4-BE49-F238E27FC236}">
              <a16:creationId xmlns:a16="http://schemas.microsoft.com/office/drawing/2014/main" id="{D704E5EF-0069-AD79-14CA-AA6136B001A9}"/>
            </a:ext>
          </a:extLst>
        </xdr:cNvPr>
        <xdr:cNvCxnSpPr>
          <a:stCxn id="200" idx="7"/>
          <a:endCxn id="211" idx="6"/>
        </xdr:cNvCxnSpPr>
      </xdr:nvCxnSpPr>
      <xdr:spPr>
        <a:xfrm>
          <a:off x="4453784" y="11479978"/>
          <a:ext cx="1439013" cy="24132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218440</xdr:colOff>
      <xdr:row>60</xdr:row>
      <xdr:rowOff>122055</xdr:rowOff>
    </xdr:from>
    <xdr:to>
      <xdr:col>8</xdr:col>
      <xdr:colOff>238058</xdr:colOff>
      <xdr:row>61</xdr:row>
      <xdr:rowOff>83503</xdr:rowOff>
    </xdr:to>
    <xdr:cxnSp macro="">
      <xdr:nvCxnSpPr>
        <xdr:cNvPr id="306" name="Conector recto 305">
          <a:extLst>
            <a:ext uri="{FF2B5EF4-FFF2-40B4-BE49-F238E27FC236}">
              <a16:creationId xmlns:a16="http://schemas.microsoft.com/office/drawing/2014/main" id="{B7D24D32-97A0-4CD8-AF69-DEC07582389B}"/>
            </a:ext>
          </a:extLst>
        </xdr:cNvPr>
        <xdr:cNvCxnSpPr>
          <a:stCxn id="202" idx="2"/>
          <a:endCxn id="211" idx="5"/>
        </xdr:cNvCxnSpPr>
      </xdr:nvCxnSpPr>
      <xdr:spPr>
        <a:xfrm flipV="1">
          <a:off x="4895948" y="11727901"/>
          <a:ext cx="980910" cy="15487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58</xdr:row>
      <xdr:rowOff>83503</xdr:rowOff>
    </xdr:from>
    <xdr:to>
      <xdr:col>6</xdr:col>
      <xdr:colOff>218440</xdr:colOff>
      <xdr:row>59</xdr:row>
      <xdr:rowOff>60960</xdr:rowOff>
    </xdr:to>
    <xdr:cxnSp macro="">
      <xdr:nvCxnSpPr>
        <xdr:cNvPr id="308" name="Conector recto 307">
          <a:extLst>
            <a:ext uri="{FF2B5EF4-FFF2-40B4-BE49-F238E27FC236}">
              <a16:creationId xmlns:a16="http://schemas.microsoft.com/office/drawing/2014/main" id="{DEDB291F-4871-8956-F216-563CD58AC2AE}"/>
            </a:ext>
          </a:extLst>
        </xdr:cNvPr>
        <xdr:cNvCxnSpPr>
          <a:stCxn id="200" idx="0"/>
          <a:endCxn id="199" idx="6"/>
        </xdr:cNvCxnSpPr>
      </xdr:nvCxnSpPr>
      <xdr:spPr>
        <a:xfrm flipV="1">
          <a:off x="4437845" y="11302488"/>
          <a:ext cx="458103" cy="170887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57</xdr:row>
      <xdr:rowOff>67563</xdr:rowOff>
    </xdr:from>
    <xdr:to>
      <xdr:col>6</xdr:col>
      <xdr:colOff>263525</xdr:colOff>
      <xdr:row>58</xdr:row>
      <xdr:rowOff>83503</xdr:rowOff>
    </xdr:to>
    <xdr:cxnSp macro="">
      <xdr:nvCxnSpPr>
        <xdr:cNvPr id="310" name="Conector recto 309">
          <a:extLst>
            <a:ext uri="{FF2B5EF4-FFF2-40B4-BE49-F238E27FC236}">
              <a16:creationId xmlns:a16="http://schemas.microsoft.com/office/drawing/2014/main" id="{BFBEFBA5-515F-788E-3B06-7E5798C1AFDA}"/>
            </a:ext>
          </a:extLst>
        </xdr:cNvPr>
        <xdr:cNvCxnSpPr>
          <a:stCxn id="198" idx="7"/>
          <a:endCxn id="199" idx="2"/>
        </xdr:cNvCxnSpPr>
      </xdr:nvCxnSpPr>
      <xdr:spPr>
        <a:xfrm>
          <a:off x="4453784" y="11093117"/>
          <a:ext cx="487249" cy="20937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56</xdr:row>
      <xdr:rowOff>83503</xdr:rowOff>
    </xdr:from>
    <xdr:to>
      <xdr:col>6</xdr:col>
      <xdr:colOff>263525</xdr:colOff>
      <xdr:row>57</xdr:row>
      <xdr:rowOff>67563</xdr:rowOff>
    </xdr:to>
    <xdr:cxnSp macro="">
      <xdr:nvCxnSpPr>
        <xdr:cNvPr id="312" name="Conector recto 311">
          <a:extLst>
            <a:ext uri="{FF2B5EF4-FFF2-40B4-BE49-F238E27FC236}">
              <a16:creationId xmlns:a16="http://schemas.microsoft.com/office/drawing/2014/main" id="{1D8BA795-0E91-4B78-5BA1-3379999C37EF}"/>
            </a:ext>
          </a:extLst>
        </xdr:cNvPr>
        <xdr:cNvCxnSpPr>
          <a:stCxn id="197" idx="6"/>
          <a:endCxn id="198" idx="1"/>
        </xdr:cNvCxnSpPr>
      </xdr:nvCxnSpPr>
      <xdr:spPr>
        <a:xfrm flipH="1">
          <a:off x="4453784" y="10915626"/>
          <a:ext cx="487249" cy="17749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54</xdr:row>
      <xdr:rowOff>83503</xdr:rowOff>
    </xdr:from>
    <xdr:to>
      <xdr:col>6</xdr:col>
      <xdr:colOff>263525</xdr:colOff>
      <xdr:row>55</xdr:row>
      <xdr:rowOff>67563</xdr:rowOff>
    </xdr:to>
    <xdr:cxnSp macro="">
      <xdr:nvCxnSpPr>
        <xdr:cNvPr id="314" name="Conector recto 313">
          <a:extLst>
            <a:ext uri="{FF2B5EF4-FFF2-40B4-BE49-F238E27FC236}">
              <a16:creationId xmlns:a16="http://schemas.microsoft.com/office/drawing/2014/main" id="{D00B2AF3-5DD5-572B-3764-25FF66B4DE31}"/>
            </a:ext>
          </a:extLst>
        </xdr:cNvPr>
        <xdr:cNvCxnSpPr>
          <a:stCxn id="196" idx="1"/>
          <a:endCxn id="195" idx="5"/>
        </xdr:cNvCxnSpPr>
      </xdr:nvCxnSpPr>
      <xdr:spPr>
        <a:xfrm flipV="1">
          <a:off x="4421905" y="10528765"/>
          <a:ext cx="519128" cy="1774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263525</xdr:colOff>
      <xdr:row>55</xdr:row>
      <xdr:rowOff>83503</xdr:rowOff>
    </xdr:from>
    <xdr:to>
      <xdr:col>6</xdr:col>
      <xdr:colOff>263525</xdr:colOff>
      <xdr:row>56</xdr:row>
      <xdr:rowOff>83503</xdr:rowOff>
    </xdr:to>
    <xdr:cxnSp macro="">
      <xdr:nvCxnSpPr>
        <xdr:cNvPr id="316" name="Conector recto 315">
          <a:extLst>
            <a:ext uri="{FF2B5EF4-FFF2-40B4-BE49-F238E27FC236}">
              <a16:creationId xmlns:a16="http://schemas.microsoft.com/office/drawing/2014/main" id="{99D02D08-5701-B2C3-3F1B-F2CAE9DB38E7}"/>
            </a:ext>
          </a:extLst>
        </xdr:cNvPr>
        <xdr:cNvCxnSpPr>
          <a:stCxn id="197" idx="6"/>
          <a:endCxn id="196" idx="1"/>
        </xdr:cNvCxnSpPr>
      </xdr:nvCxnSpPr>
      <xdr:spPr>
        <a:xfrm flipH="1" flipV="1">
          <a:off x="4460387" y="10722195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222118</xdr:colOff>
      <xdr:row>52</xdr:row>
      <xdr:rowOff>114358</xdr:rowOff>
    </xdr:from>
    <xdr:to>
      <xdr:col>9</xdr:col>
      <xdr:colOff>238058</xdr:colOff>
      <xdr:row>53</xdr:row>
      <xdr:rowOff>83573</xdr:rowOff>
    </xdr:to>
    <xdr:cxnSp macro="">
      <xdr:nvCxnSpPr>
        <xdr:cNvPr id="318" name="Conector recto 317">
          <a:extLst>
            <a:ext uri="{FF2B5EF4-FFF2-40B4-BE49-F238E27FC236}">
              <a16:creationId xmlns:a16="http://schemas.microsoft.com/office/drawing/2014/main" id="{B55DBF94-DB21-4B0F-70D1-EADACDB1C88C}"/>
            </a:ext>
          </a:extLst>
        </xdr:cNvPr>
        <xdr:cNvCxnSpPr>
          <a:stCxn id="193" idx="4"/>
          <a:endCxn id="210" idx="1"/>
        </xdr:cNvCxnSpPr>
      </xdr:nvCxnSpPr>
      <xdr:spPr>
        <a:xfrm flipH="1">
          <a:off x="5860918" y="10172758"/>
          <a:ext cx="496586" cy="162646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256922</xdr:colOff>
      <xdr:row>53</xdr:row>
      <xdr:rowOff>115452</xdr:rowOff>
    </xdr:from>
    <xdr:to>
      <xdr:col>8</xdr:col>
      <xdr:colOff>222118</xdr:colOff>
      <xdr:row>54</xdr:row>
      <xdr:rowOff>67563</xdr:rowOff>
    </xdr:to>
    <xdr:cxnSp macro="">
      <xdr:nvCxnSpPr>
        <xdr:cNvPr id="320" name="Conector recto 319">
          <a:extLst>
            <a:ext uri="{FF2B5EF4-FFF2-40B4-BE49-F238E27FC236}">
              <a16:creationId xmlns:a16="http://schemas.microsoft.com/office/drawing/2014/main" id="{1BF841AA-E41F-4C33-0A27-59241A0A9E5E}"/>
            </a:ext>
          </a:extLst>
        </xdr:cNvPr>
        <xdr:cNvCxnSpPr>
          <a:stCxn id="195" idx="7"/>
          <a:endCxn id="210" idx="3"/>
        </xdr:cNvCxnSpPr>
      </xdr:nvCxnSpPr>
      <xdr:spPr>
        <a:xfrm flipV="1">
          <a:off x="4934430" y="10367283"/>
          <a:ext cx="926488" cy="14554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263525</xdr:colOff>
      <xdr:row>43</xdr:row>
      <xdr:rowOff>99513</xdr:rowOff>
    </xdr:from>
    <xdr:to>
      <xdr:col>8</xdr:col>
      <xdr:colOff>215515</xdr:colOff>
      <xdr:row>44</xdr:row>
      <xdr:rowOff>83503</xdr:rowOff>
    </xdr:to>
    <xdr:cxnSp macro="">
      <xdr:nvCxnSpPr>
        <xdr:cNvPr id="321" name="Conector recto 320">
          <a:extLst>
            <a:ext uri="{FF2B5EF4-FFF2-40B4-BE49-F238E27FC236}">
              <a16:creationId xmlns:a16="http://schemas.microsoft.com/office/drawing/2014/main" id="{05E9A11E-A4F1-4058-92BA-1BBB4F3AAFA7}"/>
            </a:ext>
          </a:extLst>
        </xdr:cNvPr>
        <xdr:cNvCxnSpPr>
          <a:stCxn id="182" idx="6"/>
          <a:endCxn id="208" idx="2"/>
        </xdr:cNvCxnSpPr>
      </xdr:nvCxnSpPr>
      <xdr:spPr>
        <a:xfrm flipV="1">
          <a:off x="4941033" y="8417036"/>
          <a:ext cx="913282" cy="17742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240983</xdr:colOff>
      <xdr:row>51</xdr:row>
      <xdr:rowOff>106045</xdr:rowOff>
    </xdr:from>
    <xdr:to>
      <xdr:col>9</xdr:col>
      <xdr:colOff>215515</xdr:colOff>
      <xdr:row>52</xdr:row>
      <xdr:rowOff>91816</xdr:rowOff>
    </xdr:to>
    <xdr:cxnSp macro="">
      <xdr:nvCxnSpPr>
        <xdr:cNvPr id="325" name="Conector recto 324">
          <a:extLst>
            <a:ext uri="{FF2B5EF4-FFF2-40B4-BE49-F238E27FC236}">
              <a16:creationId xmlns:a16="http://schemas.microsoft.com/office/drawing/2014/main" id="{8817E921-4D12-A0A3-7102-1AC92B343874}"/>
            </a:ext>
          </a:extLst>
        </xdr:cNvPr>
        <xdr:cNvCxnSpPr>
          <a:stCxn id="189" idx="4"/>
          <a:endCxn id="193" idx="2"/>
        </xdr:cNvCxnSpPr>
      </xdr:nvCxnSpPr>
      <xdr:spPr>
        <a:xfrm>
          <a:off x="4931516" y="10037445"/>
          <a:ext cx="1422332" cy="180504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225043</xdr:colOff>
      <xdr:row>50</xdr:row>
      <xdr:rowOff>122055</xdr:rowOff>
    </xdr:from>
    <xdr:to>
      <xdr:col>8</xdr:col>
      <xdr:colOff>238058</xdr:colOff>
      <xdr:row>51</xdr:row>
      <xdr:rowOff>67563</xdr:rowOff>
    </xdr:to>
    <xdr:cxnSp macro="">
      <xdr:nvCxnSpPr>
        <xdr:cNvPr id="328" name="Conector recto 327">
          <a:extLst>
            <a:ext uri="{FF2B5EF4-FFF2-40B4-BE49-F238E27FC236}">
              <a16:creationId xmlns:a16="http://schemas.microsoft.com/office/drawing/2014/main" id="{5E64D765-2BFB-0EC7-C2F3-10A79C354E5B}"/>
            </a:ext>
          </a:extLst>
        </xdr:cNvPr>
        <xdr:cNvCxnSpPr>
          <a:stCxn id="209" idx="4"/>
          <a:endCxn id="189" idx="1"/>
        </xdr:cNvCxnSpPr>
      </xdr:nvCxnSpPr>
      <xdr:spPr>
        <a:xfrm flipH="1">
          <a:off x="4915576" y="9858722"/>
          <a:ext cx="978215" cy="14024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44</xdr:row>
      <xdr:rowOff>99442</xdr:rowOff>
    </xdr:from>
    <xdr:to>
      <xdr:col>6</xdr:col>
      <xdr:colOff>225043</xdr:colOff>
      <xdr:row>45</xdr:row>
      <xdr:rowOff>67563</xdr:rowOff>
    </xdr:to>
    <xdr:cxnSp macro="">
      <xdr:nvCxnSpPr>
        <xdr:cNvPr id="330" name="Conector recto 329">
          <a:extLst>
            <a:ext uri="{FF2B5EF4-FFF2-40B4-BE49-F238E27FC236}">
              <a16:creationId xmlns:a16="http://schemas.microsoft.com/office/drawing/2014/main" id="{195CA377-5FE2-1774-F9FC-5A8C50DA6876}"/>
            </a:ext>
          </a:extLst>
        </xdr:cNvPr>
        <xdr:cNvCxnSpPr>
          <a:stCxn id="183" idx="7"/>
          <a:endCxn id="182" idx="3"/>
        </xdr:cNvCxnSpPr>
      </xdr:nvCxnSpPr>
      <xdr:spPr>
        <a:xfrm flipV="1">
          <a:off x="4453784" y="8610396"/>
          <a:ext cx="448767" cy="161552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49</xdr:row>
      <xdr:rowOff>67563</xdr:rowOff>
    </xdr:from>
    <xdr:to>
      <xdr:col>8</xdr:col>
      <xdr:colOff>222118</xdr:colOff>
      <xdr:row>50</xdr:row>
      <xdr:rowOff>83573</xdr:rowOff>
    </xdr:to>
    <xdr:cxnSp macro="">
      <xdr:nvCxnSpPr>
        <xdr:cNvPr id="332" name="Conector recto 331">
          <a:extLst>
            <a:ext uri="{FF2B5EF4-FFF2-40B4-BE49-F238E27FC236}">
              <a16:creationId xmlns:a16="http://schemas.microsoft.com/office/drawing/2014/main" id="{296DAFA3-07BC-C5A8-355C-3C713A43091B}"/>
            </a:ext>
          </a:extLst>
        </xdr:cNvPr>
        <xdr:cNvCxnSpPr>
          <a:stCxn id="187" idx="1"/>
          <a:endCxn id="209" idx="1"/>
        </xdr:cNvCxnSpPr>
      </xdr:nvCxnSpPr>
      <xdr:spPr>
        <a:xfrm>
          <a:off x="4421905" y="9545671"/>
          <a:ext cx="1439013" cy="20944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47</xdr:row>
      <xdr:rowOff>67563</xdr:rowOff>
    </xdr:from>
    <xdr:to>
      <xdr:col>6</xdr:col>
      <xdr:colOff>225043</xdr:colOff>
      <xdr:row>48</xdr:row>
      <xdr:rowOff>67563</xdr:rowOff>
    </xdr:to>
    <xdr:cxnSp macro="">
      <xdr:nvCxnSpPr>
        <xdr:cNvPr id="334" name="Conector recto 333">
          <a:extLst>
            <a:ext uri="{FF2B5EF4-FFF2-40B4-BE49-F238E27FC236}">
              <a16:creationId xmlns:a16="http://schemas.microsoft.com/office/drawing/2014/main" id="{49D727FA-48C9-A3D4-C050-C8ED80375102}"/>
            </a:ext>
          </a:extLst>
        </xdr:cNvPr>
        <xdr:cNvCxnSpPr>
          <a:stCxn id="185" idx="1"/>
          <a:endCxn id="186" idx="1"/>
        </xdr:cNvCxnSpPr>
      </xdr:nvCxnSpPr>
      <xdr:spPr>
        <a:xfrm>
          <a:off x="4421905" y="9158809"/>
          <a:ext cx="480646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225043</xdr:colOff>
      <xdr:row>45</xdr:row>
      <xdr:rowOff>67563</xdr:rowOff>
    </xdr:from>
    <xdr:to>
      <xdr:col>6</xdr:col>
      <xdr:colOff>263525</xdr:colOff>
      <xdr:row>46</xdr:row>
      <xdr:rowOff>83503</xdr:rowOff>
    </xdr:to>
    <xdr:cxnSp macro="">
      <xdr:nvCxnSpPr>
        <xdr:cNvPr id="336" name="Conector recto 335">
          <a:extLst>
            <a:ext uri="{FF2B5EF4-FFF2-40B4-BE49-F238E27FC236}">
              <a16:creationId xmlns:a16="http://schemas.microsoft.com/office/drawing/2014/main" id="{834F6146-2EA5-6A24-41DD-DC34EDA1E2BD}"/>
            </a:ext>
          </a:extLst>
        </xdr:cNvPr>
        <xdr:cNvCxnSpPr>
          <a:stCxn id="183" idx="1"/>
          <a:endCxn id="184" idx="6"/>
        </xdr:cNvCxnSpPr>
      </xdr:nvCxnSpPr>
      <xdr:spPr>
        <a:xfrm>
          <a:off x="4421905" y="8771948"/>
          <a:ext cx="519128" cy="20937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256922</xdr:colOff>
      <xdr:row>48</xdr:row>
      <xdr:rowOff>67563</xdr:rowOff>
    </xdr:from>
    <xdr:to>
      <xdr:col>6</xdr:col>
      <xdr:colOff>225043</xdr:colOff>
      <xdr:row>49</xdr:row>
      <xdr:rowOff>67563</xdr:rowOff>
    </xdr:to>
    <xdr:cxnSp macro="">
      <xdr:nvCxnSpPr>
        <xdr:cNvPr id="338" name="Conector recto 337">
          <a:extLst>
            <a:ext uri="{FF2B5EF4-FFF2-40B4-BE49-F238E27FC236}">
              <a16:creationId xmlns:a16="http://schemas.microsoft.com/office/drawing/2014/main" id="{2C4C11C8-0E24-7348-BF5F-276FB5364126}"/>
            </a:ext>
          </a:extLst>
        </xdr:cNvPr>
        <xdr:cNvCxnSpPr>
          <a:stCxn id="187" idx="7"/>
          <a:endCxn id="186" idx="1"/>
        </xdr:cNvCxnSpPr>
      </xdr:nvCxnSpPr>
      <xdr:spPr>
        <a:xfrm flipV="1">
          <a:off x="4453784" y="9352240"/>
          <a:ext cx="448767" cy="193431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240983</xdr:colOff>
      <xdr:row>46</xdr:row>
      <xdr:rowOff>99442</xdr:rowOff>
    </xdr:from>
    <xdr:to>
      <xdr:col>6</xdr:col>
      <xdr:colOff>225043</xdr:colOff>
      <xdr:row>47</xdr:row>
      <xdr:rowOff>60960</xdr:rowOff>
    </xdr:to>
    <xdr:cxnSp macro="">
      <xdr:nvCxnSpPr>
        <xdr:cNvPr id="340" name="Conector recto 339">
          <a:extLst>
            <a:ext uri="{FF2B5EF4-FFF2-40B4-BE49-F238E27FC236}">
              <a16:creationId xmlns:a16="http://schemas.microsoft.com/office/drawing/2014/main" id="{A85DCE27-2FBE-150C-F73B-3BF799084952}"/>
            </a:ext>
          </a:extLst>
        </xdr:cNvPr>
        <xdr:cNvCxnSpPr>
          <a:stCxn id="185" idx="0"/>
          <a:endCxn id="184" idx="3"/>
        </xdr:cNvCxnSpPr>
      </xdr:nvCxnSpPr>
      <xdr:spPr>
        <a:xfrm flipV="1">
          <a:off x="4437845" y="8997257"/>
          <a:ext cx="464706" cy="15494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16</xdr:row>
      <xdr:rowOff>91816</xdr:rowOff>
    </xdr:from>
    <xdr:to>
      <xdr:col>9</xdr:col>
      <xdr:colOff>215515</xdr:colOff>
      <xdr:row>17</xdr:row>
      <xdr:rowOff>91200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927B6D88-2083-D036-E1C5-9880FA3C27A1}"/>
            </a:ext>
          </a:extLst>
        </xdr:cNvPr>
        <xdr:cNvCxnSpPr>
          <a:stCxn id="152" idx="6"/>
          <a:endCxn id="191" idx="0"/>
        </xdr:cNvCxnSpPr>
      </xdr:nvCxnSpPr>
      <xdr:spPr>
        <a:xfrm flipV="1">
          <a:off x="5898562" y="3102186"/>
          <a:ext cx="431768" cy="187533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C3486-69DB-41EB-9B4C-4FBD7DF88B0B}">
  <sheetPr codeName="Hoja5"/>
  <dimension ref="A1:O66"/>
  <sheetViews>
    <sheetView tabSelected="1" topLeftCell="A6" zoomScale="86" zoomScaleNormal="86" workbookViewId="0">
      <selection activeCell="Q38" sqref="Q38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5" ht="15" thickBot="1" x14ac:dyDescent="0.35">
      <c r="A1" s="1" t="s">
        <v>0</v>
      </c>
      <c r="B1" s="14" t="s">
        <v>59</v>
      </c>
      <c r="C1" s="15"/>
      <c r="D1" s="15"/>
      <c r="E1" s="15"/>
      <c r="F1" s="15"/>
      <c r="G1" s="15"/>
      <c r="H1" s="15"/>
      <c r="I1" s="15"/>
      <c r="J1" s="15"/>
      <c r="K1" s="16"/>
    </row>
    <row r="2" spans="1:15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5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5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5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5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5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5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5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5" ht="15" thickBot="1" x14ac:dyDescent="0.35">
      <c r="A10" s="2">
        <v>7</v>
      </c>
      <c r="B10" s="4" t="s">
        <v>17</v>
      </c>
      <c r="C10" s="4"/>
      <c r="D10" s="4">
        <v>2</v>
      </c>
      <c r="E10" s="4"/>
      <c r="F10" s="5"/>
      <c r="G10" s="5"/>
      <c r="H10" s="4"/>
      <c r="I10" s="4"/>
      <c r="J10" s="4"/>
      <c r="K10" s="4" t="s">
        <v>15</v>
      </c>
    </row>
    <row r="11" spans="1:15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5" ht="15" thickBot="1" x14ac:dyDescent="0.35">
      <c r="A12" s="2">
        <v>9</v>
      </c>
      <c r="B12" s="4" t="s">
        <v>26</v>
      </c>
      <c r="C12" s="4"/>
      <c r="D12" s="4">
        <v>8</v>
      </c>
      <c r="E12" s="4"/>
      <c r="F12" s="5"/>
      <c r="G12" s="5"/>
      <c r="H12" s="4"/>
      <c r="I12" s="4"/>
      <c r="J12" s="4"/>
      <c r="K12" s="4"/>
      <c r="O12">
        <f>SUM(D5:E20)</f>
        <v>1544</v>
      </c>
    </row>
    <row r="13" spans="1:15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5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5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5" ht="15" thickBot="1" x14ac:dyDescent="0.35">
      <c r="A16" s="2">
        <v>13</v>
      </c>
      <c r="B16" s="4" t="s">
        <v>19</v>
      </c>
      <c r="C16" s="4"/>
      <c r="D16" s="4">
        <v>10</v>
      </c>
      <c r="E16" s="4"/>
      <c r="F16" s="5"/>
      <c r="G16" s="5"/>
      <c r="H16" s="4"/>
      <c r="I16" s="4"/>
      <c r="J16" s="4"/>
      <c r="K16" s="4" t="s">
        <v>15</v>
      </c>
    </row>
    <row r="17" spans="1:15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5" ht="15" thickBot="1" x14ac:dyDescent="0.35">
      <c r="A18" s="2">
        <v>15</v>
      </c>
      <c r="B18" s="4" t="s">
        <v>21</v>
      </c>
      <c r="C18" s="4"/>
      <c r="D18" s="4">
        <v>4</v>
      </c>
      <c r="E18" s="4"/>
      <c r="F18" s="4"/>
      <c r="G18" s="5"/>
      <c r="H18" s="4"/>
      <c r="I18" s="4"/>
      <c r="J18" s="4"/>
      <c r="K18" s="4"/>
    </row>
    <row r="19" spans="1:15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5" ht="15" thickBot="1" x14ac:dyDescent="0.35">
      <c r="A20" s="2">
        <v>17</v>
      </c>
      <c r="B20" s="4" t="s">
        <v>22</v>
      </c>
      <c r="C20" s="4"/>
      <c r="D20" s="4">
        <v>2</v>
      </c>
      <c r="E20" s="4"/>
      <c r="F20" s="4"/>
      <c r="G20" s="5"/>
      <c r="H20" s="4"/>
      <c r="I20" s="4"/>
      <c r="J20" s="4"/>
      <c r="K20" s="4" t="s">
        <v>15</v>
      </c>
    </row>
    <row r="21" spans="1:15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  <c r="O21">
        <f>SUM(D22:E37)</f>
        <v>1541</v>
      </c>
    </row>
    <row r="22" spans="1:15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5" ht="15" thickBot="1" x14ac:dyDescent="0.35">
      <c r="A23" s="2">
        <v>20</v>
      </c>
      <c r="B23" s="4" t="s">
        <v>23</v>
      </c>
      <c r="C23" s="4"/>
      <c r="D23" s="4">
        <v>1</v>
      </c>
      <c r="E23" s="4"/>
      <c r="F23" s="9"/>
      <c r="G23" s="5"/>
      <c r="H23" s="4"/>
      <c r="I23" s="4"/>
      <c r="J23" s="4"/>
      <c r="K23" s="4"/>
    </row>
    <row r="24" spans="1:15" ht="15" thickBot="1" x14ac:dyDescent="0.35">
      <c r="A24" s="2">
        <v>21</v>
      </c>
      <c r="B24" s="4" t="s">
        <v>13</v>
      </c>
      <c r="C24" s="4"/>
      <c r="D24" s="4"/>
      <c r="E24" s="4">
        <v>1</v>
      </c>
      <c r="F24" s="4"/>
      <c r="G24" s="9"/>
      <c r="H24" s="4"/>
      <c r="I24" s="4"/>
      <c r="J24" s="4"/>
      <c r="K24" s="4"/>
    </row>
    <row r="25" spans="1:15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5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5" ht="15" thickBot="1" x14ac:dyDescent="0.35">
      <c r="A27" s="2">
        <v>24</v>
      </c>
      <c r="B27" s="4" t="s">
        <v>17</v>
      </c>
      <c r="C27" s="4"/>
      <c r="D27" s="4">
        <v>2</v>
      </c>
      <c r="E27" s="4"/>
      <c r="F27" s="4"/>
      <c r="G27" s="10"/>
      <c r="H27" s="4"/>
      <c r="I27" s="4"/>
      <c r="J27" s="4"/>
      <c r="K27" s="4"/>
    </row>
    <row r="28" spans="1:15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5" ht="15" thickBot="1" x14ac:dyDescent="0.35">
      <c r="A29" s="2">
        <v>26</v>
      </c>
      <c r="B29" s="4" t="s">
        <v>26</v>
      </c>
      <c r="C29" s="4"/>
      <c r="D29" s="4">
        <v>10</v>
      </c>
      <c r="E29" s="4"/>
      <c r="F29" s="5"/>
      <c r="G29" s="10"/>
      <c r="H29" s="4"/>
      <c r="I29" s="4"/>
      <c r="J29" s="4"/>
      <c r="K29" s="4" t="s">
        <v>15</v>
      </c>
    </row>
    <row r="30" spans="1:15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5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5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5" ht="15" thickBot="1" x14ac:dyDescent="0.35">
      <c r="A33" s="2">
        <v>30</v>
      </c>
      <c r="B33" s="4" t="s">
        <v>19</v>
      </c>
      <c r="C33" s="4"/>
      <c r="D33" s="4">
        <v>10</v>
      </c>
      <c r="E33" s="4"/>
      <c r="F33" s="4"/>
      <c r="G33" s="5"/>
      <c r="H33" s="5"/>
      <c r="I33" s="4"/>
      <c r="J33" s="4"/>
      <c r="K33" s="4" t="s">
        <v>15</v>
      </c>
    </row>
    <row r="34" spans="1:15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5" ht="15" thickBot="1" x14ac:dyDescent="0.35">
      <c r="A35" s="2">
        <v>32</v>
      </c>
      <c r="B35" s="4" t="s">
        <v>21</v>
      </c>
      <c r="C35" s="4"/>
      <c r="D35" s="4">
        <v>4</v>
      </c>
      <c r="E35" s="4"/>
      <c r="F35" s="4"/>
      <c r="G35" s="5"/>
      <c r="H35" s="5"/>
      <c r="I35" s="4"/>
      <c r="J35" s="4"/>
      <c r="K35" s="4"/>
    </row>
    <row r="36" spans="1:15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5" ht="15" thickBot="1" x14ac:dyDescent="0.35">
      <c r="A37" s="2">
        <v>34</v>
      </c>
      <c r="B37" s="4" t="s">
        <v>22</v>
      </c>
      <c r="C37" s="4"/>
      <c r="D37" s="4">
        <v>2</v>
      </c>
      <c r="E37" s="4"/>
      <c r="F37" s="4"/>
      <c r="G37" s="5"/>
      <c r="H37" s="4"/>
      <c r="I37" s="5"/>
      <c r="J37" s="4"/>
      <c r="K37" s="4" t="s">
        <v>15</v>
      </c>
    </row>
    <row r="38" spans="1:15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5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5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5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5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5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5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5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5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5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5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  <c r="O48">
        <f>SUM(D49:E57)</f>
        <v>39</v>
      </c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1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1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2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10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7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116</v>
      </c>
      <c r="E61" s="4">
        <f>SUM(E4:E60)</f>
        <v>4645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  <row r="66" spans="10:10" x14ac:dyDescent="0.3">
      <c r="J66" s="1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1E12-7AF0-4346-BE51-0DE3BBD69989}">
  <sheetPr codeName="Hoja4"/>
  <dimension ref="A1:K61"/>
  <sheetViews>
    <sheetView zoomScale="86" zoomScaleNormal="86" workbookViewId="0">
      <selection activeCell="O10" sqref="O10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59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6*1.02</f>
        <v>6.12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60</v>
      </c>
      <c r="C11" s="4"/>
      <c r="D11" s="4"/>
      <c r="E11" s="4">
        <v>30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26</v>
      </c>
      <c r="C12" s="4"/>
      <c r="D12" s="4">
        <v>17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31</v>
      </c>
      <c r="C13" s="4"/>
      <c r="D13" s="4"/>
      <c r="E13" s="4">
        <v>600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33</v>
      </c>
      <c r="C14" s="4"/>
      <c r="D14" s="4"/>
      <c r="E14" s="4">
        <v>840</v>
      </c>
      <c r="F14" s="5"/>
      <c r="G14" s="4"/>
      <c r="H14" s="5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7</v>
      </c>
      <c r="F15" s="5"/>
      <c r="G15" s="4"/>
      <c r="H15" s="5"/>
      <c r="I15" s="5"/>
      <c r="J15" s="4"/>
      <c r="K15" s="4"/>
    </row>
    <row r="16" spans="1:11" ht="15" thickBot="1" x14ac:dyDescent="0.35">
      <c r="A16" s="2">
        <v>13</v>
      </c>
      <c r="B16" s="4" t="s">
        <v>19</v>
      </c>
      <c r="C16" s="4"/>
      <c r="D16" s="4">
        <v>12</v>
      </c>
      <c r="E16" s="4"/>
      <c r="F16" s="5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20</v>
      </c>
      <c r="C17" s="4"/>
      <c r="D17" s="4"/>
      <c r="E17" s="4">
        <v>5</v>
      </c>
      <c r="F17" s="5"/>
      <c r="G17" s="4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21</v>
      </c>
      <c r="C18" s="4"/>
      <c r="D18" s="4">
        <v>3</v>
      </c>
      <c r="E18" s="4"/>
      <c r="F18" s="4"/>
      <c r="G18" s="5"/>
      <c r="H18" s="4"/>
      <c r="I18" s="4"/>
      <c r="J18" s="4"/>
      <c r="K18" s="4"/>
    </row>
    <row r="19" spans="1:11" ht="15" thickBot="1" x14ac:dyDescent="0.35">
      <c r="A19" s="2">
        <v>16</v>
      </c>
      <c r="B19" s="4" t="s">
        <v>11</v>
      </c>
      <c r="C19" s="4"/>
      <c r="D19" s="4"/>
      <c r="E19" s="4">
        <v>10</v>
      </c>
      <c r="F19" s="4"/>
      <c r="G19" s="5"/>
      <c r="H19" s="4"/>
      <c r="I19" s="5"/>
      <c r="J19" s="4"/>
      <c r="K19" s="4"/>
    </row>
    <row r="20" spans="1:11" ht="15" thickBot="1" x14ac:dyDescent="0.35">
      <c r="A20" s="2">
        <v>17</v>
      </c>
      <c r="B20" s="4" t="s">
        <v>22</v>
      </c>
      <c r="C20" s="4"/>
      <c r="D20" s="4">
        <v>7</v>
      </c>
      <c r="E20" s="4"/>
      <c r="F20" s="4"/>
      <c r="G20" s="5"/>
      <c r="H20" s="4"/>
      <c r="I20" s="4"/>
      <c r="J20" s="4"/>
      <c r="K20" s="4" t="s">
        <v>15</v>
      </c>
    </row>
    <row r="21" spans="1:11" ht="15" thickBot="1" x14ac:dyDescent="0.35">
      <c r="A21" s="2">
        <v>18</v>
      </c>
      <c r="B21" s="4" t="s">
        <v>10</v>
      </c>
      <c r="C21" s="12">
        <f>1.02*1.4</f>
        <v>1.4279999999999999</v>
      </c>
      <c r="D21" s="4"/>
      <c r="E21" s="4"/>
      <c r="F21" s="4"/>
      <c r="G21" s="8"/>
      <c r="H21" s="4"/>
      <c r="I21" s="4"/>
      <c r="J21" s="4"/>
      <c r="K21" s="4"/>
    </row>
    <row r="22" spans="1:11" ht="15" thickBot="1" x14ac:dyDescent="0.35">
      <c r="A22" s="2">
        <v>19</v>
      </c>
      <c r="B22" s="4" t="s">
        <v>11</v>
      </c>
      <c r="C22" s="9"/>
      <c r="D22" s="4"/>
      <c r="E22" s="4">
        <v>3</v>
      </c>
      <c r="F22" s="7"/>
      <c r="G22" s="9"/>
      <c r="H22" s="4"/>
      <c r="I22" s="5"/>
      <c r="J22" s="5"/>
      <c r="K22" s="4"/>
    </row>
    <row r="23" spans="1:11" ht="15" thickBot="1" x14ac:dyDescent="0.35">
      <c r="A23" s="2">
        <v>20</v>
      </c>
      <c r="B23" s="4" t="s">
        <v>23</v>
      </c>
      <c r="C23" s="4"/>
      <c r="D23" s="4">
        <v>2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13</v>
      </c>
      <c r="C24" s="4"/>
      <c r="D24" s="4"/>
      <c r="E24" s="4">
        <v>5</v>
      </c>
      <c r="F24" s="4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24</v>
      </c>
      <c r="C25" s="4"/>
      <c r="D25" s="4">
        <v>6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55</v>
      </c>
      <c r="C26" s="4"/>
      <c r="D26" s="4"/>
      <c r="E26" s="4">
        <v>10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17</v>
      </c>
      <c r="C27" s="4"/>
      <c r="D27" s="4">
        <v>8</v>
      </c>
      <c r="E27" s="4"/>
      <c r="F27" s="4"/>
      <c r="G27" s="10"/>
      <c r="H27" s="4"/>
      <c r="I27" s="4"/>
      <c r="J27" s="4"/>
      <c r="K27" s="4"/>
    </row>
    <row r="28" spans="1:11" ht="15" thickBot="1" x14ac:dyDescent="0.35">
      <c r="A28" s="2">
        <v>25</v>
      </c>
      <c r="B28" s="4" t="s">
        <v>61</v>
      </c>
      <c r="C28" s="4"/>
      <c r="D28" s="4"/>
      <c r="E28" s="4">
        <v>30</v>
      </c>
      <c r="F28" s="10"/>
      <c r="G28" s="9"/>
      <c r="H28" s="4"/>
      <c r="I28" s="4"/>
      <c r="J28" s="4"/>
      <c r="K28" s="4"/>
    </row>
    <row r="29" spans="1:11" ht="15" thickBot="1" x14ac:dyDescent="0.35">
      <c r="A29" s="2">
        <v>26</v>
      </c>
      <c r="B29" s="4" t="s">
        <v>26</v>
      </c>
      <c r="C29" s="4"/>
      <c r="D29" s="4">
        <v>17</v>
      </c>
      <c r="E29" s="4"/>
      <c r="F29" s="5"/>
      <c r="G29" s="10"/>
      <c r="H29" s="4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31</v>
      </c>
      <c r="C30" s="4"/>
      <c r="D30" s="4"/>
      <c r="E30" s="4">
        <v>600</v>
      </c>
      <c r="F30" s="5"/>
      <c r="G30" s="4"/>
      <c r="H30" s="4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33</v>
      </c>
      <c r="C31" s="4"/>
      <c r="D31" s="4"/>
      <c r="E31" s="4">
        <v>840</v>
      </c>
      <c r="F31" s="4"/>
      <c r="G31" s="5"/>
      <c r="H31" s="5"/>
      <c r="I31" s="4"/>
      <c r="J31" s="4"/>
      <c r="K31" s="4" t="s">
        <v>32</v>
      </c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7</v>
      </c>
      <c r="F32" s="4"/>
      <c r="G32" s="5"/>
      <c r="H32" s="5"/>
      <c r="I32" s="5"/>
      <c r="J32" s="4"/>
      <c r="K32" s="4"/>
    </row>
    <row r="33" spans="1:11" ht="15" thickBot="1" x14ac:dyDescent="0.35">
      <c r="A33" s="2">
        <v>30</v>
      </c>
      <c r="B33" s="4" t="s">
        <v>19</v>
      </c>
      <c r="C33" s="4"/>
      <c r="D33" s="4">
        <v>12</v>
      </c>
      <c r="E33" s="4"/>
      <c r="F33" s="4"/>
      <c r="G33" s="5"/>
      <c r="H33" s="5"/>
      <c r="I33" s="4"/>
      <c r="J33" s="4"/>
      <c r="K33" s="4" t="s">
        <v>15</v>
      </c>
    </row>
    <row r="34" spans="1:11" ht="15" thickBot="1" x14ac:dyDescent="0.35">
      <c r="A34" s="2">
        <v>31</v>
      </c>
      <c r="B34" s="4" t="s">
        <v>20</v>
      </c>
      <c r="C34" s="4"/>
      <c r="D34" s="4"/>
      <c r="E34" s="4">
        <v>5</v>
      </c>
      <c r="F34" s="5"/>
      <c r="G34" s="5"/>
      <c r="H34" s="5"/>
      <c r="I34" s="4"/>
      <c r="J34" s="4"/>
      <c r="K34" s="4"/>
    </row>
    <row r="35" spans="1:11" ht="15" thickBot="1" x14ac:dyDescent="0.35">
      <c r="A35" s="2">
        <v>32</v>
      </c>
      <c r="B35" s="4" t="s">
        <v>21</v>
      </c>
      <c r="C35" s="4"/>
      <c r="D35" s="4">
        <v>3</v>
      </c>
      <c r="E35" s="4"/>
      <c r="F35" s="4"/>
      <c r="G35" s="5"/>
      <c r="H35" s="5"/>
      <c r="I35" s="4"/>
      <c r="J35" s="4"/>
      <c r="K35" s="4"/>
    </row>
    <row r="36" spans="1:11" ht="15" thickBot="1" x14ac:dyDescent="0.35">
      <c r="A36" s="2">
        <v>33</v>
      </c>
      <c r="B36" s="4" t="s">
        <v>11</v>
      </c>
      <c r="C36" s="4"/>
      <c r="D36" s="4"/>
      <c r="E36" s="4">
        <v>10</v>
      </c>
      <c r="F36" s="4"/>
      <c r="G36" s="4"/>
      <c r="H36" s="4"/>
      <c r="I36" s="5"/>
      <c r="J36" s="4"/>
      <c r="K36" s="4"/>
    </row>
    <row r="37" spans="1:11" ht="15" thickBot="1" x14ac:dyDescent="0.35">
      <c r="A37" s="2">
        <v>34</v>
      </c>
      <c r="B37" s="4" t="s">
        <v>22</v>
      </c>
      <c r="C37" s="4"/>
      <c r="D37" s="4">
        <v>7</v>
      </c>
      <c r="E37" s="4"/>
      <c r="F37" s="4"/>
      <c r="G37" s="5"/>
      <c r="H37" s="4"/>
      <c r="I37" s="5"/>
      <c r="J37" s="4"/>
      <c r="K37" s="4" t="s">
        <v>15</v>
      </c>
    </row>
    <row r="38" spans="1:11" ht="15" thickBot="1" x14ac:dyDescent="0.35">
      <c r="A38" s="2">
        <v>35</v>
      </c>
      <c r="B38" s="4" t="s">
        <v>34</v>
      </c>
      <c r="C38" s="4">
        <v>6.12</v>
      </c>
      <c r="D38" s="4"/>
      <c r="E38" s="4"/>
      <c r="F38" s="4"/>
      <c r="G38" s="5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28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36</v>
      </c>
      <c r="C40" s="4"/>
      <c r="D40" s="4"/>
      <c r="E40" s="4">
        <v>120</v>
      </c>
      <c r="F40" s="5"/>
      <c r="G40" s="4"/>
      <c r="H40" s="4"/>
      <c r="I40" s="4"/>
      <c r="J40" s="5"/>
      <c r="K40" s="4" t="s">
        <v>32</v>
      </c>
    </row>
    <row r="41" spans="1:11" ht="15" thickBot="1" x14ac:dyDescent="0.35">
      <c r="A41" s="2">
        <v>38</v>
      </c>
      <c r="B41" s="4" t="s">
        <v>35</v>
      </c>
      <c r="C41" s="4"/>
      <c r="D41" s="4">
        <v>5</v>
      </c>
      <c r="E41" s="4"/>
      <c r="F41" s="5"/>
      <c r="G41" s="5"/>
      <c r="H41" s="4"/>
      <c r="I41" s="4"/>
      <c r="J41" s="4"/>
      <c r="K41" s="4"/>
    </row>
    <row r="42" spans="1:11" ht="15" thickBot="1" x14ac:dyDescent="0.35">
      <c r="A42" s="2">
        <v>39</v>
      </c>
      <c r="B42" s="4" t="s">
        <v>38</v>
      </c>
      <c r="C42" s="4"/>
      <c r="D42" s="4"/>
      <c r="E42" s="4">
        <v>30</v>
      </c>
      <c r="F42" s="5"/>
      <c r="G42" s="4"/>
      <c r="H42" s="4"/>
      <c r="I42" s="4"/>
      <c r="J42" s="4"/>
      <c r="K42" s="4"/>
    </row>
    <row r="43" spans="1:11" ht="15" thickBot="1" x14ac:dyDescent="0.35">
      <c r="A43" s="2">
        <v>40</v>
      </c>
      <c r="B43" s="4" t="s">
        <v>33</v>
      </c>
      <c r="C43" s="4"/>
      <c r="D43" s="4"/>
      <c r="E43" s="4">
        <v>1410</v>
      </c>
      <c r="F43" s="4"/>
      <c r="G43" s="5"/>
      <c r="H43" s="4"/>
      <c r="I43" s="4"/>
      <c r="J43" s="4"/>
      <c r="K43" s="4" t="s">
        <v>32</v>
      </c>
    </row>
    <row r="44" spans="1:11" ht="15" thickBot="1" x14ac:dyDescent="0.35">
      <c r="A44" s="2">
        <v>41</v>
      </c>
      <c r="B44" s="4" t="s">
        <v>37</v>
      </c>
      <c r="C44" s="4"/>
      <c r="D44" s="4">
        <v>5</v>
      </c>
      <c r="E44" s="4"/>
      <c r="F44" s="5"/>
      <c r="G44" s="5"/>
      <c r="H44" s="4"/>
      <c r="I44" s="4"/>
      <c r="J44" s="4"/>
      <c r="K44" s="4"/>
    </row>
    <row r="45" spans="1:11" ht="15" thickBot="1" x14ac:dyDescent="0.35">
      <c r="A45" s="2">
        <v>42</v>
      </c>
      <c r="B45" s="4" t="s">
        <v>40</v>
      </c>
      <c r="C45" s="4"/>
      <c r="D45" s="4"/>
      <c r="E45" s="4">
        <v>10</v>
      </c>
      <c r="F45" s="5"/>
      <c r="G45" s="4"/>
      <c r="H45" s="5"/>
      <c r="I45" s="4"/>
      <c r="J45" s="4"/>
      <c r="K45" s="4"/>
    </row>
    <row r="46" spans="1:11" ht="15" thickBot="1" x14ac:dyDescent="0.35">
      <c r="A46" s="2">
        <v>43</v>
      </c>
      <c r="B46" s="4" t="s">
        <v>11</v>
      </c>
      <c r="C46" s="4"/>
      <c r="D46" s="4"/>
      <c r="E46" s="4">
        <v>3</v>
      </c>
      <c r="F46" s="4"/>
      <c r="G46" s="5"/>
      <c r="H46" s="4"/>
      <c r="I46" s="5"/>
      <c r="J46" s="4"/>
      <c r="K46" s="4"/>
    </row>
    <row r="47" spans="1:11" ht="15" thickBot="1" x14ac:dyDescent="0.35">
      <c r="A47" s="2">
        <v>44</v>
      </c>
      <c r="B47" s="4" t="s">
        <v>22</v>
      </c>
      <c r="C47" s="4"/>
      <c r="D47" s="4">
        <v>7</v>
      </c>
      <c r="E47" s="4"/>
      <c r="F47" s="4"/>
      <c r="G47" s="5"/>
      <c r="H47" s="4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10</v>
      </c>
      <c r="C48" s="12">
        <f>1.4*1.02</f>
        <v>1.4279999999999999</v>
      </c>
      <c r="D48" s="4"/>
      <c r="E48" s="4"/>
      <c r="F48" s="11"/>
      <c r="G48" s="4"/>
      <c r="H48" s="4"/>
      <c r="I48" s="4"/>
      <c r="J48" s="5"/>
      <c r="K48" s="4"/>
    </row>
    <row r="49" spans="1:11" ht="15" thickBot="1" x14ac:dyDescent="0.35">
      <c r="A49" s="2">
        <v>46</v>
      </c>
      <c r="B49" s="4" t="s">
        <v>11</v>
      </c>
      <c r="C49" s="4"/>
      <c r="D49" s="4"/>
      <c r="E49" s="4">
        <v>3</v>
      </c>
      <c r="F49" s="4"/>
      <c r="G49" s="4"/>
      <c r="H49" s="4"/>
      <c r="I49" s="5"/>
      <c r="J49" s="4"/>
      <c r="K49" s="4"/>
    </row>
    <row r="50" spans="1:11" ht="15" thickBot="1" x14ac:dyDescent="0.35">
      <c r="A50" s="2">
        <v>47</v>
      </c>
      <c r="B50" s="4" t="s">
        <v>39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13</v>
      </c>
      <c r="C51" s="4"/>
      <c r="D51" s="4"/>
      <c r="E51" s="4">
        <v>5</v>
      </c>
      <c r="F51" s="5"/>
      <c r="G51" s="4"/>
      <c r="H51" s="4"/>
      <c r="I51" s="5"/>
      <c r="J51" s="4"/>
      <c r="K51" s="4"/>
    </row>
    <row r="52" spans="1:11" ht="15" thickBot="1" x14ac:dyDescent="0.35">
      <c r="A52" s="2">
        <v>49</v>
      </c>
      <c r="B52" s="4" t="s">
        <v>30</v>
      </c>
      <c r="C52" s="4"/>
      <c r="D52" s="4">
        <v>6</v>
      </c>
      <c r="E52" s="4"/>
      <c r="F52" s="4"/>
      <c r="G52" s="5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48</v>
      </c>
      <c r="C53" s="4"/>
      <c r="D53" s="4"/>
      <c r="E53" s="4">
        <v>8</v>
      </c>
      <c r="F53" s="5"/>
      <c r="G53" s="4"/>
      <c r="H53" s="4"/>
      <c r="I53" s="4"/>
      <c r="J53" s="4"/>
      <c r="K53" s="4"/>
    </row>
    <row r="54" spans="1:11" ht="15" thickBot="1" x14ac:dyDescent="0.35">
      <c r="A54" s="2">
        <v>51</v>
      </c>
      <c r="B54" s="4" t="s">
        <v>42</v>
      </c>
      <c r="C54" s="4"/>
      <c r="D54" s="4">
        <v>3</v>
      </c>
      <c r="E54" s="4"/>
      <c r="F54" s="4"/>
      <c r="G54" s="5"/>
      <c r="H54" s="4"/>
      <c r="I54" s="4"/>
      <c r="J54" s="4"/>
      <c r="K54" s="4"/>
    </row>
    <row r="55" spans="1:11" ht="15" thickBot="1" x14ac:dyDescent="0.35">
      <c r="A55" s="2">
        <v>52</v>
      </c>
      <c r="B55" s="4" t="s">
        <v>29</v>
      </c>
      <c r="C55" s="4"/>
      <c r="D55" s="4"/>
      <c r="E55" s="4">
        <v>5</v>
      </c>
      <c r="F55" s="5"/>
      <c r="G55" s="4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11</v>
      </c>
      <c r="C56" s="4"/>
      <c r="D56" s="4"/>
      <c r="E56" s="4">
        <v>3</v>
      </c>
      <c r="F56" s="4"/>
      <c r="G56" s="4"/>
      <c r="H56" s="4"/>
      <c r="I56" s="4"/>
      <c r="J56" s="4"/>
      <c r="K56" s="4"/>
    </row>
    <row r="57" spans="1:11" ht="15" thickBot="1" x14ac:dyDescent="0.35">
      <c r="A57" s="2">
        <v>54</v>
      </c>
      <c r="B57" s="4" t="s">
        <v>22</v>
      </c>
      <c r="C57" s="4"/>
      <c r="D57" s="4">
        <v>10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50</v>
      </c>
      <c r="C58" s="4"/>
      <c r="D58" s="4"/>
      <c r="E58" s="4">
        <v>30</v>
      </c>
      <c r="F58" s="5"/>
      <c r="G58" s="4"/>
      <c r="H58" s="4"/>
      <c r="I58" s="5"/>
      <c r="J58" s="4"/>
      <c r="K58" s="4"/>
    </row>
    <row r="59" spans="1:11" ht="15" thickBot="1" x14ac:dyDescent="0.35">
      <c r="A59" s="2">
        <v>56</v>
      </c>
      <c r="B59" s="4" t="s">
        <v>11</v>
      </c>
      <c r="C59" s="4"/>
      <c r="D59" s="4"/>
      <c r="E59" s="4">
        <v>5</v>
      </c>
      <c r="F59" s="5"/>
      <c r="G59" s="5"/>
      <c r="H59" s="4"/>
      <c r="I59" s="5"/>
      <c r="J59" s="4"/>
      <c r="K59" s="4"/>
    </row>
    <row r="60" spans="1:11" ht="15" thickBot="1" x14ac:dyDescent="0.35">
      <c r="A60" s="2">
        <v>57</v>
      </c>
      <c r="B60" s="4" t="s">
        <v>51</v>
      </c>
      <c r="C60" s="4"/>
      <c r="D60" s="4">
        <v>7</v>
      </c>
      <c r="E60" s="4"/>
      <c r="F60" s="4"/>
      <c r="G60" s="5"/>
      <c r="H60" s="4"/>
      <c r="I60" s="4"/>
      <c r="J60" s="4"/>
      <c r="K60" s="4" t="s">
        <v>15</v>
      </c>
    </row>
    <row r="61" spans="1:11" ht="15" thickBot="1" x14ac:dyDescent="0.35">
      <c r="A61" s="2"/>
      <c r="B61" s="4" t="s">
        <v>52</v>
      </c>
      <c r="C61" s="4"/>
      <c r="D61" s="4">
        <f>SUM(D4:D60)</f>
        <v>160</v>
      </c>
      <c r="E61" s="4">
        <f>SUM(E4:E60)</f>
        <v>4657</v>
      </c>
      <c r="F61" s="6" cm="1">
        <f t="array" aca="1" ref="F61" ca="1">ContarCeldasConCirculos(F4:F60)</f>
        <v>17</v>
      </c>
      <c r="G61" s="6" cm="1">
        <f t="array" aca="1" ref="G61" ca="1">ContarCeldasConCirculos(G4:G60)</f>
        <v>23</v>
      </c>
      <c r="H61" s="6" cm="1">
        <f t="array" aca="1" ref="H61" ca="1">ContarCeldasConCirculos(H4:H60)</f>
        <v>3</v>
      </c>
      <c r="I61" s="6" cm="1">
        <f t="array" aca="1" ref="I61" ca="1">ContarCeldasConCirculos(I4:I60)</f>
        <v>10</v>
      </c>
      <c r="J61" s="6" cm="1">
        <f t="array" aca="1" ref="J61" ca="1">ContarCeldasConCirculos(J4:J60)</f>
        <v>4</v>
      </c>
      <c r="K61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56EE3-9B68-4F6B-B95E-D0F71268E128}">
  <sheetPr codeName="Hoja7"/>
  <dimension ref="A1:N57"/>
  <sheetViews>
    <sheetView topLeftCell="A38" zoomScale="94" zoomScaleNormal="94" workbookViewId="0">
      <selection activeCell="N45" sqref="N45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4" ht="15" thickBot="1" x14ac:dyDescent="0.35">
      <c r="A1" s="1" t="s">
        <v>0</v>
      </c>
      <c r="B1" s="14" t="s">
        <v>54</v>
      </c>
      <c r="C1" s="15"/>
      <c r="D1" s="15"/>
      <c r="E1" s="15"/>
      <c r="F1" s="15"/>
      <c r="G1" s="15"/>
      <c r="H1" s="15"/>
      <c r="I1" s="15"/>
      <c r="J1" s="15"/>
      <c r="K1" s="16"/>
    </row>
    <row r="2" spans="1:14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4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4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  <c r="N4">
        <f>SUM(D5:E16)</f>
        <v>70</v>
      </c>
    </row>
    <row r="5" spans="1:14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4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4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4" ht="15" thickBot="1" x14ac:dyDescent="0.35">
      <c r="A8" s="2">
        <v>5</v>
      </c>
      <c r="B8" s="4" t="s">
        <v>14</v>
      </c>
      <c r="C8" s="4"/>
      <c r="D8" s="4">
        <v>10</v>
      </c>
      <c r="E8" s="4"/>
      <c r="F8" s="5"/>
      <c r="G8" s="5"/>
      <c r="H8" s="4"/>
      <c r="I8" s="4"/>
      <c r="J8" s="4"/>
      <c r="K8" s="4" t="s">
        <v>15</v>
      </c>
    </row>
    <row r="9" spans="1:14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4" ht="15" thickBot="1" x14ac:dyDescent="0.35">
      <c r="A10" s="2">
        <v>7</v>
      </c>
      <c r="B10" s="4" t="s">
        <v>17</v>
      </c>
      <c r="C10" s="4"/>
      <c r="D10" s="4">
        <v>2</v>
      </c>
      <c r="E10" s="4"/>
      <c r="F10" s="5"/>
      <c r="G10" s="5"/>
      <c r="H10" s="4"/>
      <c r="I10" s="4"/>
      <c r="J10" s="4"/>
      <c r="K10" s="4" t="s">
        <v>15</v>
      </c>
    </row>
    <row r="11" spans="1:14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4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4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4" ht="15" thickBot="1" x14ac:dyDescent="0.35">
      <c r="A14" s="2">
        <v>11</v>
      </c>
      <c r="B14" s="4" t="s">
        <v>21</v>
      </c>
      <c r="C14" s="4"/>
      <c r="D14" s="4">
        <v>4</v>
      </c>
      <c r="E14" s="4"/>
      <c r="F14" s="4"/>
      <c r="G14" s="5"/>
      <c r="H14" s="4"/>
      <c r="I14" s="4"/>
      <c r="J14" s="4"/>
      <c r="K14" s="4"/>
    </row>
    <row r="15" spans="1:14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4" ht="15" thickBot="1" x14ac:dyDescent="0.35">
      <c r="A16" s="2">
        <v>13</v>
      </c>
      <c r="B16" s="4" t="s">
        <v>22</v>
      </c>
      <c r="C16" s="4"/>
      <c r="D16" s="4">
        <v>2</v>
      </c>
      <c r="E16" s="4"/>
      <c r="F16" s="4"/>
      <c r="G16" s="5"/>
      <c r="H16" s="4"/>
      <c r="I16" s="4"/>
      <c r="J16" s="4"/>
      <c r="K16" s="4" t="s">
        <v>15</v>
      </c>
    </row>
    <row r="17" spans="1:14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  <c r="N17">
        <f>SUM(D18:E33)</f>
        <v>1520</v>
      </c>
    </row>
    <row r="18" spans="1:14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4" ht="15" thickBot="1" x14ac:dyDescent="0.35">
      <c r="A19" s="2">
        <v>16</v>
      </c>
      <c r="B19" s="4" t="s">
        <v>23</v>
      </c>
      <c r="C19" s="4"/>
      <c r="D19" s="4">
        <v>1</v>
      </c>
      <c r="E19" s="4"/>
      <c r="F19" s="9"/>
      <c r="G19" s="5"/>
      <c r="H19" s="4"/>
      <c r="I19" s="4"/>
      <c r="J19" s="4"/>
      <c r="K19" s="4"/>
    </row>
    <row r="20" spans="1:14" ht="15" thickBot="1" x14ac:dyDescent="0.35">
      <c r="A20" s="2">
        <v>17</v>
      </c>
      <c r="B20" s="4" t="s">
        <v>13</v>
      </c>
      <c r="C20" s="4"/>
      <c r="D20" s="4"/>
      <c r="E20" s="4">
        <v>1</v>
      </c>
      <c r="F20" s="4"/>
      <c r="G20" s="9"/>
      <c r="H20" s="4"/>
      <c r="I20" s="4"/>
      <c r="J20" s="4"/>
      <c r="K20" s="4"/>
    </row>
    <row r="21" spans="1:14" ht="15" thickBot="1" x14ac:dyDescent="0.35">
      <c r="A21" s="2">
        <v>18</v>
      </c>
      <c r="B21" s="4" t="s">
        <v>24</v>
      </c>
      <c r="C21" s="4"/>
      <c r="D21" s="4">
        <v>2</v>
      </c>
      <c r="E21" s="4"/>
      <c r="F21" s="9"/>
      <c r="G21" s="5"/>
      <c r="H21" s="4"/>
      <c r="I21" s="4"/>
      <c r="J21" s="4"/>
      <c r="K21" s="4" t="s">
        <v>15</v>
      </c>
    </row>
    <row r="22" spans="1:14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4" ht="15" thickBot="1" x14ac:dyDescent="0.35">
      <c r="A23" s="2">
        <v>20</v>
      </c>
      <c r="B23" s="4" t="s">
        <v>26</v>
      </c>
      <c r="C23" s="4"/>
      <c r="D23" s="4">
        <v>2</v>
      </c>
      <c r="E23" s="4"/>
      <c r="F23" s="4"/>
      <c r="G23" s="10"/>
      <c r="H23" s="4"/>
      <c r="I23" s="4"/>
      <c r="J23" s="4"/>
      <c r="K23" s="4"/>
    </row>
    <row r="24" spans="1:14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4" ht="15" thickBot="1" x14ac:dyDescent="0.35">
      <c r="A25" s="2">
        <v>22</v>
      </c>
      <c r="B25" s="4" t="s">
        <v>28</v>
      </c>
      <c r="C25" s="4"/>
      <c r="D25" s="4">
        <v>10</v>
      </c>
      <c r="E25" s="4"/>
      <c r="F25" s="5"/>
      <c r="G25" s="10"/>
      <c r="H25" s="4"/>
      <c r="I25" s="4"/>
      <c r="J25" s="4"/>
      <c r="K25" s="4" t="s">
        <v>15</v>
      </c>
    </row>
    <row r="26" spans="1:14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4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4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4" ht="15" thickBot="1" x14ac:dyDescent="0.35">
      <c r="A29" s="2">
        <v>26</v>
      </c>
      <c r="B29" s="4" t="s">
        <v>19</v>
      </c>
      <c r="C29" s="4"/>
      <c r="D29" s="4">
        <v>10</v>
      </c>
      <c r="E29" s="4"/>
      <c r="F29" s="4"/>
      <c r="G29" s="5"/>
      <c r="H29" s="5"/>
      <c r="I29" s="4"/>
      <c r="J29" s="4"/>
      <c r="K29" s="4" t="s">
        <v>15</v>
      </c>
    </row>
    <row r="30" spans="1:14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4" ht="15" thickBot="1" x14ac:dyDescent="0.35">
      <c r="A31" s="2">
        <v>28</v>
      </c>
      <c r="B31" s="4" t="s">
        <v>21</v>
      </c>
      <c r="C31" s="4"/>
      <c r="D31" s="4">
        <v>2</v>
      </c>
      <c r="E31" s="4"/>
      <c r="F31" s="4"/>
      <c r="G31" s="5"/>
      <c r="H31" s="5"/>
      <c r="I31" s="4"/>
      <c r="J31" s="4"/>
      <c r="K31" s="4"/>
    </row>
    <row r="32" spans="1:14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4" ht="15" thickBot="1" x14ac:dyDescent="0.35">
      <c r="A33" s="2">
        <v>30</v>
      </c>
      <c r="B33" s="4" t="s">
        <v>22</v>
      </c>
      <c r="C33" s="4"/>
      <c r="D33" s="4">
        <v>2</v>
      </c>
      <c r="E33" s="4"/>
      <c r="F33" s="4"/>
      <c r="G33" s="5"/>
      <c r="H33" s="4"/>
      <c r="I33" s="5"/>
      <c r="J33" s="4"/>
      <c r="K33" s="4" t="s">
        <v>15</v>
      </c>
    </row>
    <row r="34" spans="1:14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4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4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4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4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4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4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4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4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4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4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  <c r="N44">
        <f>SUM(D45:E53)</f>
        <v>39</v>
      </c>
    </row>
    <row r="45" spans="1:14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4" ht="15" thickBot="1" x14ac:dyDescent="0.35">
      <c r="A46" s="2">
        <v>43</v>
      </c>
      <c r="B46" s="4" t="s">
        <v>30</v>
      </c>
      <c r="C46" s="4"/>
      <c r="D46" s="4">
        <v>1</v>
      </c>
      <c r="E46" s="4"/>
      <c r="F46" s="4"/>
      <c r="G46" s="5"/>
      <c r="H46" s="4"/>
      <c r="I46" s="4"/>
      <c r="J46" s="4"/>
      <c r="K46" s="4"/>
    </row>
    <row r="47" spans="1:14" ht="15" thickBot="1" x14ac:dyDescent="0.35">
      <c r="A47" s="2">
        <v>44</v>
      </c>
      <c r="B47" s="4" t="s">
        <v>13</v>
      </c>
      <c r="C47" s="4"/>
      <c r="D47" s="4"/>
      <c r="E47" s="4">
        <v>1</v>
      </c>
      <c r="F47" s="5"/>
      <c r="G47" s="4"/>
      <c r="H47" s="4"/>
      <c r="I47" s="5"/>
      <c r="J47" s="4"/>
      <c r="K47" s="4"/>
    </row>
    <row r="48" spans="1:14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2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2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93</v>
      </c>
      <c r="E57" s="4">
        <f>SUM(E4:E56)</f>
        <v>3168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9B90B-8BB1-4A6C-8F34-FD1E1D4A135B}">
  <sheetPr codeName="Hoja3"/>
  <dimension ref="A1:K57"/>
  <sheetViews>
    <sheetView topLeftCell="A41" zoomScale="94" zoomScaleNormal="94" workbookViewId="0">
      <selection activeCell="N14" sqref="N14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54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f>7.5*1.02</f>
        <v>7.65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57</v>
      </c>
      <c r="C9" s="4"/>
      <c r="D9" s="4"/>
      <c r="E9" s="4">
        <v>15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58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12">
        <f>1.02*0.9</f>
        <v>0.91800000000000004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9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55</v>
      </c>
      <c r="C22" s="4"/>
      <c r="D22" s="4"/>
      <c r="E22" s="4">
        <v>10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8</v>
      </c>
      <c r="E23" s="4"/>
      <c r="F23" s="4"/>
      <c r="G23" s="10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56</v>
      </c>
      <c r="C24" s="4"/>
      <c r="D24" s="4"/>
      <c r="E24" s="4">
        <v>15</v>
      </c>
      <c r="F24" s="10"/>
      <c r="G24" s="9"/>
      <c r="H24" s="4"/>
      <c r="I24" s="4"/>
      <c r="J24" s="4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17</v>
      </c>
      <c r="E25" s="4"/>
      <c r="F25" s="5"/>
      <c r="G25" s="10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31</v>
      </c>
      <c r="C26" s="4"/>
      <c r="D26" s="4"/>
      <c r="E26" s="4">
        <v>600</v>
      </c>
      <c r="F26" s="5"/>
      <c r="G26" s="4"/>
      <c r="H26" s="4"/>
      <c r="I26" s="4"/>
      <c r="J26" s="4"/>
      <c r="K26" s="4" t="s">
        <v>32</v>
      </c>
    </row>
    <row r="27" spans="1:11" ht="15" thickBot="1" x14ac:dyDescent="0.35">
      <c r="A27" s="2">
        <v>24</v>
      </c>
      <c r="B27" s="4" t="s">
        <v>33</v>
      </c>
      <c r="C27" s="4"/>
      <c r="D27" s="4"/>
      <c r="E27" s="4">
        <v>840</v>
      </c>
      <c r="F27" s="4"/>
      <c r="G27" s="5"/>
      <c r="H27" s="5"/>
      <c r="I27" s="4"/>
      <c r="J27" s="4"/>
      <c r="K27" s="4" t="s">
        <v>32</v>
      </c>
    </row>
    <row r="28" spans="1:11" ht="15" thickBot="1" x14ac:dyDescent="0.35">
      <c r="A28" s="2">
        <v>25</v>
      </c>
      <c r="B28" s="4" t="s">
        <v>11</v>
      </c>
      <c r="C28" s="4"/>
      <c r="D28" s="4"/>
      <c r="E28" s="4">
        <v>7</v>
      </c>
      <c r="F28" s="4"/>
      <c r="G28" s="5"/>
      <c r="H28" s="5"/>
      <c r="I28" s="5"/>
      <c r="J28" s="4"/>
      <c r="K28" s="4"/>
    </row>
    <row r="29" spans="1:11" ht="15" thickBot="1" x14ac:dyDescent="0.35">
      <c r="A29" s="2">
        <v>26</v>
      </c>
      <c r="B29" s="4" t="s">
        <v>19</v>
      </c>
      <c r="C29" s="4"/>
      <c r="D29" s="4">
        <v>12</v>
      </c>
      <c r="E29" s="4"/>
      <c r="F29" s="4"/>
      <c r="G29" s="5"/>
      <c r="H29" s="5"/>
      <c r="I29" s="4"/>
      <c r="J29" s="4"/>
      <c r="K29" s="4" t="s">
        <v>15</v>
      </c>
    </row>
    <row r="30" spans="1:11" ht="15" thickBot="1" x14ac:dyDescent="0.35">
      <c r="A30" s="2">
        <v>27</v>
      </c>
      <c r="B30" s="4" t="s">
        <v>20</v>
      </c>
      <c r="C30" s="4"/>
      <c r="D30" s="4"/>
      <c r="E30" s="4">
        <v>5</v>
      </c>
      <c r="F30" s="5"/>
      <c r="G30" s="5"/>
      <c r="H30" s="5"/>
      <c r="I30" s="4"/>
      <c r="J30" s="4"/>
      <c r="K30" s="4"/>
    </row>
    <row r="31" spans="1:11" ht="15" thickBot="1" x14ac:dyDescent="0.35">
      <c r="A31" s="2">
        <v>28</v>
      </c>
      <c r="B31" s="4" t="s">
        <v>21</v>
      </c>
      <c r="C31" s="4"/>
      <c r="D31" s="4">
        <v>3</v>
      </c>
      <c r="E31" s="4"/>
      <c r="F31" s="4"/>
      <c r="G31" s="5"/>
      <c r="H31" s="5"/>
      <c r="I31" s="4"/>
      <c r="J31" s="4"/>
      <c r="K31" s="4"/>
    </row>
    <row r="32" spans="1:11" ht="15" thickBot="1" x14ac:dyDescent="0.35">
      <c r="A32" s="2">
        <v>29</v>
      </c>
      <c r="B32" s="4" t="s">
        <v>11</v>
      </c>
      <c r="C32" s="4"/>
      <c r="D32" s="4"/>
      <c r="E32" s="4">
        <v>10</v>
      </c>
      <c r="F32" s="4"/>
      <c r="G32" s="4"/>
      <c r="H32" s="4"/>
      <c r="I32" s="5"/>
      <c r="J32" s="4"/>
      <c r="K32" s="4"/>
    </row>
    <row r="33" spans="1:11" ht="15" thickBot="1" x14ac:dyDescent="0.35">
      <c r="A33" s="2">
        <v>30</v>
      </c>
      <c r="B33" s="4" t="s">
        <v>22</v>
      </c>
      <c r="C33" s="4"/>
      <c r="D33" s="4">
        <v>7</v>
      </c>
      <c r="E33" s="4"/>
      <c r="F33" s="4"/>
      <c r="G33" s="5"/>
      <c r="H33" s="4"/>
      <c r="I33" s="5"/>
      <c r="J33" s="4"/>
      <c r="K33" s="4" t="s">
        <v>15</v>
      </c>
    </row>
    <row r="34" spans="1:11" ht="15" thickBot="1" x14ac:dyDescent="0.35">
      <c r="A34" s="2">
        <v>31</v>
      </c>
      <c r="B34" s="4" t="s">
        <v>34</v>
      </c>
      <c r="C34" s="4">
        <v>6.12</v>
      </c>
      <c r="D34" s="4"/>
      <c r="E34" s="4"/>
      <c r="F34" s="4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35</v>
      </c>
      <c r="C35" s="4"/>
      <c r="D35" s="4">
        <v>5</v>
      </c>
      <c r="E35" s="4"/>
      <c r="F35" s="5"/>
      <c r="G35" s="5"/>
      <c r="H35" s="4"/>
      <c r="I35" s="4"/>
      <c r="J35" s="4"/>
      <c r="K35" s="4"/>
    </row>
    <row r="36" spans="1:11" ht="15" thickBot="1" x14ac:dyDescent="0.35">
      <c r="A36" s="2">
        <v>33</v>
      </c>
      <c r="B36" s="4" t="s">
        <v>36</v>
      </c>
      <c r="C36" s="4"/>
      <c r="D36" s="4"/>
      <c r="E36" s="4">
        <v>120</v>
      </c>
      <c r="F36" s="5"/>
      <c r="G36" s="4"/>
      <c r="H36" s="4"/>
      <c r="I36" s="4"/>
      <c r="J36" s="5"/>
      <c r="K36" s="4" t="s">
        <v>32</v>
      </c>
    </row>
    <row r="37" spans="1:11" ht="15" thickBot="1" x14ac:dyDescent="0.35">
      <c r="A37" s="2">
        <v>34</v>
      </c>
      <c r="B37" s="4" t="s">
        <v>37</v>
      </c>
      <c r="C37" s="4"/>
      <c r="D37" s="4">
        <v>5</v>
      </c>
      <c r="E37" s="4"/>
      <c r="F37" s="5"/>
      <c r="G37" s="5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38</v>
      </c>
      <c r="C38" s="4"/>
      <c r="D38" s="4"/>
      <c r="E38" s="4">
        <v>30</v>
      </c>
      <c r="F38" s="5"/>
      <c r="G38" s="4"/>
      <c r="H38" s="4"/>
      <c r="I38" s="4"/>
      <c r="J38" s="4"/>
      <c r="K38" s="4"/>
    </row>
    <row r="39" spans="1:11" ht="15" thickBot="1" x14ac:dyDescent="0.35">
      <c r="A39" s="2">
        <v>36</v>
      </c>
      <c r="B39" s="4" t="s">
        <v>33</v>
      </c>
      <c r="C39" s="4"/>
      <c r="D39" s="4"/>
      <c r="E39" s="4">
        <v>1410</v>
      </c>
      <c r="F39" s="4"/>
      <c r="G39" s="5"/>
      <c r="H39" s="4"/>
      <c r="I39" s="4"/>
      <c r="J39" s="4"/>
      <c r="K39" s="4" t="s">
        <v>32</v>
      </c>
    </row>
    <row r="40" spans="1:11" ht="15" thickBot="1" x14ac:dyDescent="0.35">
      <c r="A40" s="2">
        <v>37</v>
      </c>
      <c r="B40" s="4" t="s">
        <v>39</v>
      </c>
      <c r="C40" s="4"/>
      <c r="D40" s="4">
        <v>5</v>
      </c>
      <c r="E40" s="4"/>
      <c r="F40" s="5"/>
      <c r="G40" s="5"/>
      <c r="H40" s="4"/>
      <c r="I40" s="4"/>
      <c r="J40" s="4"/>
      <c r="K40" s="4"/>
    </row>
    <row r="41" spans="1:11" ht="15" thickBot="1" x14ac:dyDescent="0.35">
      <c r="A41" s="2">
        <v>38</v>
      </c>
      <c r="B41" s="4" t="s">
        <v>40</v>
      </c>
      <c r="C41" s="4"/>
      <c r="D41" s="4"/>
      <c r="E41" s="4">
        <v>10</v>
      </c>
      <c r="F41" s="5"/>
      <c r="G41" s="4"/>
      <c r="H41" s="5"/>
      <c r="I41" s="4"/>
      <c r="J41" s="4"/>
      <c r="K41" s="4"/>
    </row>
    <row r="42" spans="1:11" ht="15" thickBot="1" x14ac:dyDescent="0.35">
      <c r="A42" s="2">
        <v>39</v>
      </c>
      <c r="B42" s="4" t="s">
        <v>11</v>
      </c>
      <c r="C42" s="4"/>
      <c r="D42" s="4"/>
      <c r="E42" s="4">
        <v>3</v>
      </c>
      <c r="F42" s="4"/>
      <c r="G42" s="5"/>
      <c r="H42" s="4"/>
      <c r="I42" s="5"/>
      <c r="J42" s="4"/>
      <c r="K42" s="4"/>
    </row>
    <row r="43" spans="1:11" ht="15" thickBot="1" x14ac:dyDescent="0.35">
      <c r="A43" s="2">
        <v>40</v>
      </c>
      <c r="B43" s="4" t="s">
        <v>22</v>
      </c>
      <c r="C43" s="4"/>
      <c r="D43" s="4">
        <v>7</v>
      </c>
      <c r="E43" s="4"/>
      <c r="F43" s="4"/>
      <c r="G43" s="5"/>
      <c r="H43" s="4"/>
      <c r="I43" s="4"/>
      <c r="J43" s="4"/>
      <c r="K43" s="4" t="s">
        <v>15</v>
      </c>
    </row>
    <row r="44" spans="1:11" ht="15" thickBot="1" x14ac:dyDescent="0.35">
      <c r="A44" s="2">
        <v>41</v>
      </c>
      <c r="B44" s="4" t="s">
        <v>10</v>
      </c>
      <c r="C44" s="4">
        <v>0.31</v>
      </c>
      <c r="D44" s="4"/>
      <c r="E44" s="4"/>
      <c r="F44" s="11"/>
      <c r="G44" s="4"/>
      <c r="H44" s="4"/>
      <c r="I44" s="4"/>
      <c r="J44" s="5"/>
      <c r="K44" s="4"/>
    </row>
    <row r="45" spans="1:11" ht="15" thickBot="1" x14ac:dyDescent="0.35">
      <c r="A45" s="2">
        <v>42</v>
      </c>
      <c r="B45" s="4" t="s">
        <v>11</v>
      </c>
      <c r="C45" s="4"/>
      <c r="D45" s="4"/>
      <c r="E45" s="4">
        <v>3</v>
      </c>
      <c r="F45" s="4"/>
      <c r="G45" s="4"/>
      <c r="H45" s="4"/>
      <c r="I45" s="5"/>
      <c r="J45" s="4"/>
      <c r="K45" s="4"/>
    </row>
    <row r="46" spans="1:11" ht="15" thickBot="1" x14ac:dyDescent="0.35">
      <c r="A46" s="2">
        <v>43</v>
      </c>
      <c r="B46" s="4" t="s">
        <v>30</v>
      </c>
      <c r="C46" s="4"/>
      <c r="D46" s="4">
        <v>2</v>
      </c>
      <c r="E46" s="4"/>
      <c r="F46" s="4"/>
      <c r="G46" s="5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13</v>
      </c>
      <c r="C47" s="4"/>
      <c r="D47" s="4"/>
      <c r="E47" s="4">
        <v>5</v>
      </c>
      <c r="F47" s="5"/>
      <c r="G47" s="4"/>
      <c r="H47" s="4"/>
      <c r="I47" s="5"/>
      <c r="J47" s="4"/>
      <c r="K47" s="4"/>
    </row>
    <row r="48" spans="1:11" ht="15" thickBot="1" x14ac:dyDescent="0.35">
      <c r="A48" s="2">
        <v>45</v>
      </c>
      <c r="B48" s="4" t="s">
        <v>42</v>
      </c>
      <c r="C48" s="4"/>
      <c r="D48" s="4">
        <v>6</v>
      </c>
      <c r="E48" s="4"/>
      <c r="F48" s="4"/>
      <c r="G48" s="5"/>
      <c r="H48" s="4"/>
      <c r="I48" s="4"/>
      <c r="J48" s="4"/>
      <c r="K48" s="4" t="s">
        <v>15</v>
      </c>
    </row>
    <row r="49" spans="1:11" ht="15" thickBot="1" x14ac:dyDescent="0.35">
      <c r="A49" s="2">
        <v>46</v>
      </c>
      <c r="B49" s="4" t="s">
        <v>48</v>
      </c>
      <c r="C49" s="4"/>
      <c r="D49" s="4"/>
      <c r="E49" s="4">
        <v>8</v>
      </c>
      <c r="F49" s="5"/>
      <c r="G49" s="4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43</v>
      </c>
      <c r="C50" s="4"/>
      <c r="D50" s="4">
        <v>3</v>
      </c>
      <c r="E50" s="4"/>
      <c r="F50" s="4"/>
      <c r="G50" s="5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29</v>
      </c>
      <c r="C51" s="4"/>
      <c r="D51" s="4"/>
      <c r="E51" s="4">
        <v>5</v>
      </c>
      <c r="F51" s="5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11</v>
      </c>
      <c r="C52" s="4"/>
      <c r="D52" s="4"/>
      <c r="E52" s="4">
        <v>3</v>
      </c>
      <c r="F52" s="4"/>
      <c r="G52" s="4"/>
      <c r="H52" s="4"/>
      <c r="I52" s="4"/>
      <c r="J52" s="4"/>
      <c r="K52" s="4"/>
    </row>
    <row r="53" spans="1:11" ht="15" thickBot="1" x14ac:dyDescent="0.35">
      <c r="A53" s="2">
        <v>50</v>
      </c>
      <c r="B53" s="4" t="s">
        <v>22</v>
      </c>
      <c r="C53" s="4"/>
      <c r="D53" s="4">
        <v>10</v>
      </c>
      <c r="E53" s="4"/>
      <c r="F53" s="4"/>
      <c r="G53" s="5"/>
      <c r="H53" s="4"/>
      <c r="I53" s="4"/>
      <c r="J53" s="4"/>
      <c r="K53" s="4" t="s">
        <v>15</v>
      </c>
    </row>
    <row r="54" spans="1:11" ht="15" thickBot="1" x14ac:dyDescent="0.35">
      <c r="A54" s="2">
        <v>51</v>
      </c>
      <c r="B54" s="4" t="s">
        <v>50</v>
      </c>
      <c r="C54" s="4"/>
      <c r="D54" s="4"/>
      <c r="E54" s="4">
        <v>30</v>
      </c>
      <c r="F54" s="5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11</v>
      </c>
      <c r="C55" s="4"/>
      <c r="D55" s="4"/>
      <c r="E55" s="4">
        <v>5</v>
      </c>
      <c r="F55" s="5"/>
      <c r="G55" s="5"/>
      <c r="H55" s="4"/>
      <c r="I55" s="5"/>
      <c r="J55" s="4"/>
      <c r="K55" s="4"/>
    </row>
    <row r="56" spans="1:11" ht="15" thickBot="1" x14ac:dyDescent="0.35">
      <c r="A56" s="2">
        <v>53</v>
      </c>
      <c r="B56" s="4" t="s">
        <v>51</v>
      </c>
      <c r="C56" s="4"/>
      <c r="D56" s="4">
        <v>7</v>
      </c>
      <c r="E56" s="4"/>
      <c r="F56" s="4"/>
      <c r="G56" s="5"/>
      <c r="H56" s="4"/>
      <c r="I56" s="4"/>
      <c r="J56" s="4"/>
      <c r="K56" s="4" t="s">
        <v>15</v>
      </c>
    </row>
    <row r="57" spans="1:11" ht="15" thickBot="1" x14ac:dyDescent="0.35">
      <c r="A57" s="2"/>
      <c r="B57" s="4" t="s">
        <v>52</v>
      </c>
      <c r="C57" s="4"/>
      <c r="D57" s="4">
        <f>SUM(D4:D56)</f>
        <v>133</v>
      </c>
      <c r="E57" s="4">
        <f>SUM(E4:E56)</f>
        <v>3180</v>
      </c>
      <c r="F57" s="6" cm="1">
        <f t="array" aca="1" ref="F57" ca="1">ContarCeldasConCirculos(F4:F56)</f>
        <v>16</v>
      </c>
      <c r="G57" s="6" cm="1">
        <f t="array" aca="1" ref="G57" ca="1">ContarCeldasConCirculos(G4:G56)</f>
        <v>22</v>
      </c>
      <c r="H57" s="6" cm="1">
        <f t="array" aca="1" ref="H57" ca="1">ContarCeldasConCirculos(H4:H56)</f>
        <v>2</v>
      </c>
      <c r="I57" s="6" cm="1">
        <f t="array" aca="1" ref="I57" ca="1">ContarCeldasConCirculos(I4:I56)</f>
        <v>9</v>
      </c>
      <c r="J57" s="6" cm="1">
        <f t="array" aca="1" ref="J57" ca="1">ContarCeldasConCirculos(J4:J56)</f>
        <v>4</v>
      </c>
      <c r="K57" s="3"/>
    </row>
  </sheetData>
  <mergeCells count="2">
    <mergeCell ref="B1:K1"/>
    <mergeCell ref="F2:J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AEB0-0FCC-4406-B09E-B3EF1B25CC0E}">
  <sheetPr codeName="Hoja6"/>
  <dimension ref="A1:M66"/>
  <sheetViews>
    <sheetView topLeftCell="A26" zoomScale="62" zoomScaleNormal="62" workbookViewId="0">
      <selection activeCell="Q31" sqref="Q31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3" ht="15" thickBot="1" x14ac:dyDescent="0.35">
      <c r="A1" s="1" t="s">
        <v>0</v>
      </c>
      <c r="B1" s="14" t="s">
        <v>53</v>
      </c>
      <c r="C1" s="15"/>
      <c r="D1" s="15"/>
      <c r="E1" s="15"/>
      <c r="F1" s="15"/>
      <c r="G1" s="15"/>
      <c r="H1" s="15"/>
      <c r="I1" s="15"/>
      <c r="J1" s="15"/>
      <c r="K1" s="16"/>
    </row>
    <row r="2" spans="1:13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3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3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  <c r="M4">
        <f>SUM(D5:E16)</f>
        <v>63</v>
      </c>
    </row>
    <row r="5" spans="1:13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3" ht="15" thickBot="1" x14ac:dyDescent="0.35">
      <c r="A6" s="2">
        <v>3</v>
      </c>
      <c r="B6" s="4" t="s">
        <v>12</v>
      </c>
      <c r="C6" s="4"/>
      <c r="D6" s="4">
        <v>1</v>
      </c>
      <c r="E6" s="4"/>
      <c r="F6" s="5"/>
      <c r="G6" s="5"/>
      <c r="H6" s="4"/>
      <c r="I6" s="4"/>
      <c r="J6" s="5"/>
      <c r="K6" s="4"/>
    </row>
    <row r="7" spans="1:13" ht="15" thickBot="1" x14ac:dyDescent="0.35">
      <c r="A7" s="2">
        <v>4</v>
      </c>
      <c r="B7" s="4" t="s">
        <v>13</v>
      </c>
      <c r="C7" s="4"/>
      <c r="D7" s="4"/>
      <c r="E7" s="4">
        <v>1</v>
      </c>
      <c r="F7" s="5"/>
      <c r="G7" s="4"/>
      <c r="H7" s="4"/>
      <c r="I7" s="4"/>
      <c r="J7" s="4"/>
      <c r="K7" s="4"/>
    </row>
    <row r="8" spans="1:13" ht="15" thickBot="1" x14ac:dyDescent="0.35">
      <c r="A8" s="2">
        <v>5</v>
      </c>
      <c r="B8" s="4" t="s">
        <v>14</v>
      </c>
      <c r="C8" s="4"/>
      <c r="D8" s="4">
        <v>10</v>
      </c>
      <c r="E8" s="4"/>
      <c r="F8" s="5"/>
      <c r="G8" s="5"/>
      <c r="H8" s="4"/>
      <c r="I8" s="4"/>
      <c r="J8" s="4"/>
      <c r="K8" s="4" t="s">
        <v>15</v>
      </c>
    </row>
    <row r="9" spans="1:13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3" ht="15" thickBot="1" x14ac:dyDescent="0.35">
      <c r="A10" s="2">
        <v>7</v>
      </c>
      <c r="B10" s="4" t="s">
        <v>17</v>
      </c>
      <c r="C10" s="4"/>
      <c r="D10" s="4">
        <v>1</v>
      </c>
      <c r="E10" s="4"/>
      <c r="F10" s="5"/>
      <c r="G10" s="5"/>
      <c r="H10" s="4"/>
      <c r="I10" s="4"/>
      <c r="J10" s="4"/>
      <c r="K10" s="4" t="s">
        <v>15</v>
      </c>
    </row>
    <row r="11" spans="1:13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3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3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3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3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3" ht="15" thickBot="1" x14ac:dyDescent="0.35">
      <c r="A16" s="2">
        <v>13</v>
      </c>
      <c r="B16" s="4" t="s">
        <v>22</v>
      </c>
      <c r="C16" s="4"/>
      <c r="D16" s="4">
        <v>2</v>
      </c>
      <c r="E16" s="4"/>
      <c r="F16" s="4"/>
      <c r="G16" s="5"/>
      <c r="H16" s="4"/>
      <c r="I16" s="4"/>
      <c r="J16" s="4"/>
      <c r="K16" s="4" t="s">
        <v>15</v>
      </c>
    </row>
    <row r="17" spans="1:13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  <c r="M17">
        <f>SUM(D18:E32)</f>
        <v>1508</v>
      </c>
    </row>
    <row r="18" spans="1:13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3" ht="15" thickBot="1" x14ac:dyDescent="0.35">
      <c r="A19" s="2">
        <v>16</v>
      </c>
      <c r="B19" s="4" t="s">
        <v>23</v>
      </c>
      <c r="C19" s="4"/>
      <c r="D19" s="4">
        <v>1</v>
      </c>
      <c r="E19" s="4"/>
      <c r="F19" s="9"/>
      <c r="G19" s="5"/>
      <c r="H19" s="4"/>
      <c r="I19" s="4"/>
      <c r="J19" s="4"/>
      <c r="K19" s="4"/>
    </row>
    <row r="20" spans="1:13" ht="15" thickBot="1" x14ac:dyDescent="0.35">
      <c r="A20" s="2">
        <v>17</v>
      </c>
      <c r="B20" s="4" t="s">
        <v>13</v>
      </c>
      <c r="C20" s="4"/>
      <c r="D20" s="4"/>
      <c r="E20" s="4">
        <v>1</v>
      </c>
      <c r="F20" s="4"/>
      <c r="G20" s="9"/>
      <c r="H20" s="4"/>
      <c r="I20" s="4"/>
      <c r="J20" s="4"/>
      <c r="K20" s="4"/>
    </row>
    <row r="21" spans="1:13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3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3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3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3" ht="15" thickBot="1" x14ac:dyDescent="0.35">
      <c r="A25" s="2">
        <v>22</v>
      </c>
      <c r="B25" s="4" t="s">
        <v>28</v>
      </c>
      <c r="C25" s="4"/>
      <c r="D25" s="4">
        <v>2</v>
      </c>
      <c r="E25" s="4"/>
      <c r="F25" s="9"/>
      <c r="G25" s="5"/>
      <c r="H25" s="4"/>
      <c r="I25" s="4"/>
      <c r="J25" s="4"/>
      <c r="K25" s="4" t="s">
        <v>15</v>
      </c>
    </row>
    <row r="26" spans="1:13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3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3" ht="15" thickBot="1" x14ac:dyDescent="0.35">
      <c r="A28" s="2">
        <v>25</v>
      </c>
      <c r="B28" s="4" t="s">
        <v>30</v>
      </c>
      <c r="C28" s="4"/>
      <c r="D28" s="4">
        <v>10</v>
      </c>
      <c r="E28" s="4"/>
      <c r="F28" s="5"/>
      <c r="G28" s="10"/>
      <c r="H28" s="4"/>
      <c r="I28" s="4"/>
      <c r="J28" s="4"/>
      <c r="K28" s="4" t="s">
        <v>15</v>
      </c>
    </row>
    <row r="29" spans="1:13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3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3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3" ht="15" thickBot="1" x14ac:dyDescent="0.35">
      <c r="A32" s="2">
        <v>29</v>
      </c>
      <c r="B32" s="4" t="s">
        <v>22</v>
      </c>
      <c r="C32" s="4"/>
      <c r="D32" s="4">
        <v>15</v>
      </c>
      <c r="E32" s="4"/>
      <c r="F32" s="4"/>
      <c r="G32" s="5"/>
      <c r="H32" s="4"/>
      <c r="I32" s="5"/>
      <c r="J32" s="4"/>
      <c r="K32" s="4" t="s">
        <v>15</v>
      </c>
    </row>
    <row r="33" spans="1:13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  <c r="M33">
        <f>SUM(D34:E42)</f>
        <v>1595</v>
      </c>
    </row>
    <row r="34" spans="1:13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3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3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3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3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3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3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3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3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3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  <c r="M43">
        <f>SUM(D44:E52)</f>
        <v>46</v>
      </c>
    </row>
    <row r="44" spans="1:13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3" ht="15" thickBot="1" x14ac:dyDescent="0.35">
      <c r="A45" s="2">
        <v>42</v>
      </c>
      <c r="B45" s="4" t="s">
        <v>42</v>
      </c>
      <c r="C45" s="4"/>
      <c r="D45" s="4">
        <v>1</v>
      </c>
      <c r="E45" s="4"/>
      <c r="F45" s="4"/>
      <c r="G45" s="5"/>
      <c r="H45" s="4"/>
      <c r="I45" s="4"/>
      <c r="J45" s="4"/>
      <c r="K45" s="4"/>
    </row>
    <row r="46" spans="1:13" ht="15" thickBot="1" x14ac:dyDescent="0.35">
      <c r="A46" s="2">
        <v>43</v>
      </c>
      <c r="B46" s="4" t="s">
        <v>13</v>
      </c>
      <c r="C46" s="4"/>
      <c r="D46" s="4"/>
      <c r="E46" s="4">
        <v>1</v>
      </c>
      <c r="F46" s="5"/>
      <c r="G46" s="4"/>
      <c r="H46" s="4"/>
      <c r="I46" s="4"/>
      <c r="J46" s="4"/>
      <c r="K46" s="4"/>
    </row>
    <row r="47" spans="1:13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3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2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1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1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2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7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123</v>
      </c>
      <c r="E66" s="4">
        <f>SUM(E4:E65)</f>
        <v>3170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3AF2A-B3F4-48DB-A8C0-5767AF46C5EB}">
  <sheetPr codeName="Hoja2"/>
  <dimension ref="A1:K66"/>
  <sheetViews>
    <sheetView zoomScale="170" zoomScaleNormal="170" workbookViewId="0">
      <selection activeCell="D57" sqref="D57"/>
    </sheetView>
  </sheetViews>
  <sheetFormatPr baseColWidth="10" defaultRowHeight="14.4" x14ac:dyDescent="0.3"/>
  <cols>
    <col min="1" max="1" width="4.33203125" bestFit="1" customWidth="1"/>
    <col min="2" max="2" width="22.21875" customWidth="1"/>
    <col min="6" max="10" width="7" customWidth="1"/>
  </cols>
  <sheetData>
    <row r="1" spans="1:11" ht="15" thickBot="1" x14ac:dyDescent="0.35">
      <c r="A1" s="1" t="s">
        <v>0</v>
      </c>
      <c r="B1" s="14" t="s">
        <v>53</v>
      </c>
      <c r="C1" s="15"/>
      <c r="D1" s="15"/>
      <c r="E1" s="15"/>
      <c r="F1" s="15"/>
      <c r="G1" s="15"/>
      <c r="H1" s="15"/>
      <c r="I1" s="15"/>
      <c r="J1" s="15"/>
      <c r="K1" s="16"/>
    </row>
    <row r="2" spans="1:11" ht="15" thickBot="1" x14ac:dyDescent="0.35">
      <c r="A2" s="2"/>
      <c r="B2" s="3" t="s">
        <v>1</v>
      </c>
      <c r="C2" s="3" t="s">
        <v>2</v>
      </c>
      <c r="D2" s="3" t="s">
        <v>3</v>
      </c>
      <c r="E2" s="3" t="s">
        <v>4</v>
      </c>
      <c r="F2" s="17" t="s">
        <v>5</v>
      </c>
      <c r="G2" s="18"/>
      <c r="H2" s="18"/>
      <c r="I2" s="18"/>
      <c r="J2" s="19"/>
      <c r="K2" s="3" t="s">
        <v>6</v>
      </c>
    </row>
    <row r="3" spans="1:11" ht="15" thickBot="1" x14ac:dyDescent="0.35">
      <c r="A3" s="2"/>
      <c r="B3" s="4"/>
      <c r="C3" s="4" t="s">
        <v>7</v>
      </c>
      <c r="D3" s="4" t="s">
        <v>8</v>
      </c>
      <c r="E3" s="4" t="s">
        <v>9</v>
      </c>
      <c r="F3" s="5"/>
      <c r="G3" s="5"/>
      <c r="H3" s="4"/>
      <c r="I3" s="5"/>
      <c r="J3" s="5"/>
      <c r="K3" s="4"/>
    </row>
    <row r="4" spans="1:11" ht="15" thickBot="1" x14ac:dyDescent="0.35">
      <c r="A4" s="2">
        <v>1</v>
      </c>
      <c r="B4" s="4" t="s">
        <v>10</v>
      </c>
      <c r="C4" s="4">
        <v>1.63</v>
      </c>
      <c r="D4" s="4"/>
      <c r="E4" s="4"/>
      <c r="F4" s="4"/>
      <c r="G4" s="5"/>
      <c r="H4" s="5"/>
      <c r="I4" s="4"/>
      <c r="J4" s="4"/>
      <c r="K4" s="4"/>
    </row>
    <row r="5" spans="1:11" ht="15" thickBot="1" x14ac:dyDescent="0.35">
      <c r="A5" s="2">
        <v>2</v>
      </c>
      <c r="B5" s="4" t="s">
        <v>11</v>
      </c>
      <c r="C5" s="4"/>
      <c r="D5" s="4"/>
      <c r="E5" s="4">
        <v>3</v>
      </c>
      <c r="F5" s="4"/>
      <c r="G5" s="5"/>
      <c r="H5" s="4"/>
      <c r="I5" s="5"/>
      <c r="J5" s="4"/>
      <c r="K5" s="4"/>
    </row>
    <row r="6" spans="1:11" ht="15" thickBot="1" x14ac:dyDescent="0.35">
      <c r="A6" s="2">
        <v>3</v>
      </c>
      <c r="B6" s="4" t="s">
        <v>12</v>
      </c>
      <c r="C6" s="4"/>
      <c r="D6" s="4">
        <v>2</v>
      </c>
      <c r="E6" s="4"/>
      <c r="F6" s="5"/>
      <c r="G6" s="5"/>
      <c r="H6" s="4"/>
      <c r="I6" s="4"/>
      <c r="J6" s="5"/>
      <c r="K6" s="4"/>
    </row>
    <row r="7" spans="1:11" ht="15" thickBot="1" x14ac:dyDescent="0.35">
      <c r="A7" s="2">
        <v>4</v>
      </c>
      <c r="B7" s="4" t="s">
        <v>13</v>
      </c>
      <c r="C7" s="4"/>
      <c r="D7" s="4"/>
      <c r="E7" s="4">
        <v>5</v>
      </c>
      <c r="F7" s="5"/>
      <c r="G7" s="4"/>
      <c r="H7" s="4"/>
      <c r="I7" s="4"/>
      <c r="J7" s="4"/>
      <c r="K7" s="4"/>
    </row>
    <row r="8" spans="1:11" ht="15" thickBot="1" x14ac:dyDescent="0.35">
      <c r="A8" s="2">
        <v>5</v>
      </c>
      <c r="B8" s="4" t="s">
        <v>14</v>
      </c>
      <c r="C8" s="4"/>
      <c r="D8" s="4">
        <v>6</v>
      </c>
      <c r="E8" s="4"/>
      <c r="F8" s="5"/>
      <c r="G8" s="5"/>
      <c r="H8" s="4"/>
      <c r="I8" s="4"/>
      <c r="J8" s="4"/>
      <c r="K8" s="4" t="s">
        <v>15</v>
      </c>
    </row>
    <row r="9" spans="1:11" ht="15" thickBot="1" x14ac:dyDescent="0.35">
      <c r="A9" s="2">
        <v>6</v>
      </c>
      <c r="B9" s="4" t="s">
        <v>16</v>
      </c>
      <c r="C9" s="4"/>
      <c r="D9" s="4"/>
      <c r="E9" s="4">
        <v>10</v>
      </c>
      <c r="F9" s="5"/>
      <c r="G9" s="4"/>
      <c r="H9" s="4"/>
      <c r="I9" s="4"/>
      <c r="J9" s="4"/>
      <c r="K9" s="4"/>
    </row>
    <row r="10" spans="1:11" ht="15" thickBot="1" x14ac:dyDescent="0.35">
      <c r="A10" s="2">
        <v>7</v>
      </c>
      <c r="B10" s="4" t="s">
        <v>17</v>
      </c>
      <c r="C10" s="4"/>
      <c r="D10" s="4">
        <v>8</v>
      </c>
      <c r="E10" s="4"/>
      <c r="F10" s="5"/>
      <c r="G10" s="5"/>
      <c r="H10" s="4"/>
      <c r="I10" s="4"/>
      <c r="J10" s="4"/>
      <c r="K10" s="4" t="s">
        <v>15</v>
      </c>
    </row>
    <row r="11" spans="1:11" ht="15" thickBot="1" x14ac:dyDescent="0.35">
      <c r="A11" s="2">
        <v>8</v>
      </c>
      <c r="B11" s="4" t="s">
        <v>18</v>
      </c>
      <c r="C11" s="4"/>
      <c r="D11" s="4"/>
      <c r="E11" s="4">
        <v>15</v>
      </c>
      <c r="F11" s="5"/>
      <c r="G11" s="4"/>
      <c r="H11" s="4"/>
      <c r="I11" s="4"/>
      <c r="J11" s="4"/>
      <c r="K11" s="4"/>
    </row>
    <row r="12" spans="1:11" ht="15" thickBot="1" x14ac:dyDescent="0.35">
      <c r="A12" s="2">
        <v>9</v>
      </c>
      <c r="B12" s="4" t="s">
        <v>19</v>
      </c>
      <c r="C12" s="4"/>
      <c r="D12" s="4">
        <v>2</v>
      </c>
      <c r="E12" s="4"/>
      <c r="F12" s="5"/>
      <c r="G12" s="5"/>
      <c r="H12" s="4"/>
      <c r="I12" s="4"/>
      <c r="J12" s="4"/>
      <c r="K12" s="4"/>
    </row>
    <row r="13" spans="1:11" ht="15" thickBot="1" x14ac:dyDescent="0.35">
      <c r="A13" s="2">
        <v>10</v>
      </c>
      <c r="B13" s="4" t="s">
        <v>20</v>
      </c>
      <c r="C13" s="4"/>
      <c r="D13" s="4"/>
      <c r="E13" s="4">
        <v>5</v>
      </c>
      <c r="F13" s="5"/>
      <c r="G13" s="4"/>
      <c r="H13" s="4"/>
      <c r="I13" s="4"/>
      <c r="J13" s="4"/>
      <c r="K13" s="4"/>
    </row>
    <row r="14" spans="1:11" ht="15" thickBot="1" x14ac:dyDescent="0.35">
      <c r="A14" s="2">
        <v>11</v>
      </c>
      <c r="B14" s="4" t="s">
        <v>21</v>
      </c>
      <c r="C14" s="4"/>
      <c r="D14" s="4">
        <v>3</v>
      </c>
      <c r="E14" s="4"/>
      <c r="F14" s="4"/>
      <c r="G14" s="5"/>
      <c r="H14" s="4"/>
      <c r="I14" s="4"/>
      <c r="J14" s="4"/>
      <c r="K14" s="4"/>
    </row>
    <row r="15" spans="1:11" ht="15" thickBot="1" x14ac:dyDescent="0.35">
      <c r="A15" s="2">
        <v>12</v>
      </c>
      <c r="B15" s="4" t="s">
        <v>11</v>
      </c>
      <c r="C15" s="4"/>
      <c r="D15" s="4"/>
      <c r="E15" s="4">
        <v>10</v>
      </c>
      <c r="F15" s="4"/>
      <c r="G15" s="5"/>
      <c r="H15" s="4"/>
      <c r="I15" s="5"/>
      <c r="J15" s="4"/>
      <c r="K15" s="4"/>
    </row>
    <row r="16" spans="1:11" ht="15" thickBot="1" x14ac:dyDescent="0.35">
      <c r="A16" s="2">
        <v>13</v>
      </c>
      <c r="B16" s="4" t="s">
        <v>22</v>
      </c>
      <c r="C16" s="4"/>
      <c r="D16" s="4">
        <v>7</v>
      </c>
      <c r="E16" s="4"/>
      <c r="F16" s="4"/>
      <c r="G16" s="5"/>
      <c r="H16" s="4"/>
      <c r="I16" s="4"/>
      <c r="J16" s="4"/>
      <c r="K16" s="4" t="s">
        <v>15</v>
      </c>
    </row>
    <row r="17" spans="1:11" ht="15" thickBot="1" x14ac:dyDescent="0.35">
      <c r="A17" s="2">
        <v>14</v>
      </c>
      <c r="B17" s="4" t="s">
        <v>10</v>
      </c>
      <c r="C17" s="4">
        <v>0.82</v>
      </c>
      <c r="D17" s="4"/>
      <c r="E17" s="4"/>
      <c r="F17" s="4"/>
      <c r="G17" s="8"/>
      <c r="H17" s="4"/>
      <c r="I17" s="4"/>
      <c r="J17" s="4"/>
      <c r="K17" s="4"/>
    </row>
    <row r="18" spans="1:11" ht="15" thickBot="1" x14ac:dyDescent="0.35">
      <c r="A18" s="2">
        <v>15</v>
      </c>
      <c r="B18" s="4" t="s">
        <v>11</v>
      </c>
      <c r="C18" s="4"/>
      <c r="D18" s="4"/>
      <c r="E18" s="4">
        <v>3</v>
      </c>
      <c r="F18" s="7"/>
      <c r="G18" s="9"/>
      <c r="H18" s="4"/>
      <c r="I18" s="5"/>
      <c r="J18" s="5"/>
      <c r="K18" s="4"/>
    </row>
    <row r="19" spans="1:11" ht="15" thickBot="1" x14ac:dyDescent="0.35">
      <c r="A19" s="2">
        <v>16</v>
      </c>
      <c r="B19" s="4" t="s">
        <v>23</v>
      </c>
      <c r="C19" s="4"/>
      <c r="D19" s="4">
        <v>2</v>
      </c>
      <c r="E19" s="4"/>
      <c r="F19" s="9"/>
      <c r="G19" s="5"/>
      <c r="H19" s="4"/>
      <c r="I19" s="4"/>
      <c r="J19" s="4"/>
      <c r="K19" s="4"/>
    </row>
    <row r="20" spans="1:11" ht="15" thickBot="1" x14ac:dyDescent="0.35">
      <c r="A20" s="2">
        <v>17</v>
      </c>
      <c r="B20" s="4" t="s">
        <v>13</v>
      </c>
      <c r="C20" s="4"/>
      <c r="D20" s="4"/>
      <c r="E20" s="4">
        <v>5</v>
      </c>
      <c r="F20" s="4"/>
      <c r="G20" s="9"/>
      <c r="H20" s="4"/>
      <c r="I20" s="4"/>
      <c r="J20" s="4"/>
      <c r="K20" s="4"/>
    </row>
    <row r="21" spans="1:11" ht="15" thickBot="1" x14ac:dyDescent="0.35">
      <c r="A21" s="2">
        <v>18</v>
      </c>
      <c r="B21" s="4" t="s">
        <v>24</v>
      </c>
      <c r="C21" s="4"/>
      <c r="D21" s="4">
        <v>6</v>
      </c>
      <c r="E21" s="4"/>
      <c r="F21" s="9"/>
      <c r="G21" s="5"/>
      <c r="H21" s="4"/>
      <c r="I21" s="4"/>
      <c r="J21" s="4"/>
      <c r="K21" s="4" t="s">
        <v>15</v>
      </c>
    </row>
    <row r="22" spans="1:11" ht="15" thickBot="1" x14ac:dyDescent="0.35">
      <c r="A22" s="2">
        <v>19</v>
      </c>
      <c r="B22" s="4" t="s">
        <v>25</v>
      </c>
      <c r="C22" s="4"/>
      <c r="D22" s="4"/>
      <c r="E22" s="4">
        <v>6</v>
      </c>
      <c r="F22" s="4"/>
      <c r="G22" s="9"/>
      <c r="H22" s="4"/>
      <c r="I22" s="4"/>
      <c r="J22" s="4"/>
      <c r="K22" s="4"/>
    </row>
    <row r="23" spans="1:11" ht="15" thickBot="1" x14ac:dyDescent="0.35">
      <c r="A23" s="2">
        <v>20</v>
      </c>
      <c r="B23" s="4" t="s">
        <v>26</v>
      </c>
      <c r="C23" s="4"/>
      <c r="D23" s="4">
        <v>3</v>
      </c>
      <c r="E23" s="4"/>
      <c r="F23" s="9"/>
      <c r="G23" s="5"/>
      <c r="H23" s="4"/>
      <c r="I23" s="4"/>
      <c r="J23" s="4"/>
      <c r="K23" s="4"/>
    </row>
    <row r="24" spans="1:11" ht="15" thickBot="1" x14ac:dyDescent="0.35">
      <c r="A24" s="2">
        <v>21</v>
      </c>
      <c r="B24" s="4" t="s">
        <v>27</v>
      </c>
      <c r="C24" s="4"/>
      <c r="D24" s="4"/>
      <c r="E24" s="4">
        <v>10</v>
      </c>
      <c r="F24" s="4"/>
      <c r="G24" s="9"/>
      <c r="H24" s="4"/>
      <c r="I24" s="4"/>
      <c r="J24" s="5"/>
      <c r="K24" s="4"/>
    </row>
    <row r="25" spans="1:11" ht="15" thickBot="1" x14ac:dyDescent="0.35">
      <c r="A25" s="2">
        <v>22</v>
      </c>
      <c r="B25" s="4" t="s">
        <v>28</v>
      </c>
      <c r="C25" s="4"/>
      <c r="D25" s="4">
        <v>7</v>
      </c>
      <c r="E25" s="4"/>
      <c r="F25" s="9"/>
      <c r="G25" s="5"/>
      <c r="H25" s="4"/>
      <c r="I25" s="4"/>
      <c r="J25" s="4"/>
      <c r="K25" s="4" t="s">
        <v>15</v>
      </c>
    </row>
    <row r="26" spans="1:11" ht="15" thickBot="1" x14ac:dyDescent="0.35">
      <c r="A26" s="2">
        <v>23</v>
      </c>
      <c r="B26" s="4" t="s">
        <v>29</v>
      </c>
      <c r="C26" s="4"/>
      <c r="D26" s="4"/>
      <c r="E26" s="4">
        <v>5</v>
      </c>
      <c r="F26" s="4"/>
      <c r="G26" s="9"/>
      <c r="H26" s="4"/>
      <c r="I26" s="4"/>
      <c r="J26" s="4"/>
      <c r="K26" s="4"/>
    </row>
    <row r="27" spans="1:11" ht="15" thickBot="1" x14ac:dyDescent="0.35">
      <c r="A27" s="2">
        <v>24</v>
      </c>
      <c r="B27" s="4" t="s">
        <v>11</v>
      </c>
      <c r="C27" s="4"/>
      <c r="D27" s="4"/>
      <c r="E27" s="4">
        <v>3</v>
      </c>
      <c r="F27" s="4"/>
      <c r="G27" s="5"/>
      <c r="H27" s="4"/>
      <c r="I27" s="5"/>
      <c r="J27" s="4"/>
      <c r="K27" s="4"/>
    </row>
    <row r="28" spans="1:11" ht="15" thickBot="1" x14ac:dyDescent="0.35">
      <c r="A28" s="2">
        <v>25</v>
      </c>
      <c r="B28" s="4" t="s">
        <v>30</v>
      </c>
      <c r="C28" s="4"/>
      <c r="D28" s="4">
        <v>17</v>
      </c>
      <c r="E28" s="4"/>
      <c r="F28" s="5"/>
      <c r="G28" s="10"/>
      <c r="H28" s="4"/>
      <c r="I28" s="4"/>
      <c r="J28" s="4"/>
      <c r="K28" s="4" t="s">
        <v>15</v>
      </c>
    </row>
    <row r="29" spans="1:11" ht="15" thickBot="1" x14ac:dyDescent="0.35">
      <c r="A29" s="2">
        <v>26</v>
      </c>
      <c r="B29" s="4" t="s">
        <v>31</v>
      </c>
      <c r="C29" s="4"/>
      <c r="D29" s="4"/>
      <c r="E29" s="4">
        <v>600</v>
      </c>
      <c r="F29" s="5"/>
      <c r="G29" s="4"/>
      <c r="H29" s="4"/>
      <c r="I29" s="4"/>
      <c r="J29" s="4"/>
      <c r="K29" s="4" t="s">
        <v>32</v>
      </c>
    </row>
    <row r="30" spans="1:11" ht="15" thickBot="1" x14ac:dyDescent="0.35">
      <c r="A30" s="2">
        <v>27</v>
      </c>
      <c r="B30" s="4" t="s">
        <v>33</v>
      </c>
      <c r="C30" s="4"/>
      <c r="D30" s="4"/>
      <c r="E30" s="4">
        <v>840</v>
      </c>
      <c r="F30" s="4"/>
      <c r="G30" s="5"/>
      <c r="H30" s="5"/>
      <c r="I30" s="4"/>
      <c r="J30" s="4"/>
      <c r="K30" s="4" t="s">
        <v>32</v>
      </c>
    </row>
    <row r="31" spans="1:11" ht="15" thickBot="1" x14ac:dyDescent="0.35">
      <c r="A31" s="2">
        <v>28</v>
      </c>
      <c r="B31" s="4" t="s">
        <v>11</v>
      </c>
      <c r="C31" s="4"/>
      <c r="D31" s="4"/>
      <c r="E31" s="4">
        <v>3</v>
      </c>
      <c r="F31" s="4"/>
      <c r="G31" s="4"/>
      <c r="H31" s="4"/>
      <c r="I31" s="5"/>
      <c r="J31" s="4"/>
      <c r="K31" s="4"/>
    </row>
    <row r="32" spans="1:11" ht="15" thickBot="1" x14ac:dyDescent="0.35">
      <c r="A32" s="2">
        <v>29</v>
      </c>
      <c r="B32" s="4" t="s">
        <v>22</v>
      </c>
      <c r="C32" s="4"/>
      <c r="D32" s="4">
        <v>10</v>
      </c>
      <c r="E32" s="4"/>
      <c r="F32" s="4"/>
      <c r="G32" s="5"/>
      <c r="H32" s="4"/>
      <c r="I32" s="5"/>
      <c r="J32" s="4"/>
      <c r="K32" s="4" t="s">
        <v>15</v>
      </c>
    </row>
    <row r="33" spans="1:11" ht="15" thickBot="1" x14ac:dyDescent="0.35">
      <c r="A33" s="2">
        <v>30</v>
      </c>
      <c r="B33" s="4" t="s">
        <v>34</v>
      </c>
      <c r="C33" s="4">
        <v>6.12</v>
      </c>
      <c r="D33" s="4"/>
      <c r="E33" s="4"/>
      <c r="F33" s="4"/>
      <c r="G33" s="5"/>
      <c r="H33" s="4"/>
      <c r="I33" s="4"/>
      <c r="J33" s="4"/>
      <c r="K33" s="4"/>
    </row>
    <row r="34" spans="1:11" ht="15" thickBot="1" x14ac:dyDescent="0.35">
      <c r="A34" s="2">
        <v>31</v>
      </c>
      <c r="B34" s="4" t="s">
        <v>35</v>
      </c>
      <c r="C34" s="4"/>
      <c r="D34" s="4">
        <v>5</v>
      </c>
      <c r="E34" s="4"/>
      <c r="F34" s="5"/>
      <c r="G34" s="5"/>
      <c r="H34" s="4"/>
      <c r="I34" s="4"/>
      <c r="J34" s="4"/>
      <c r="K34" s="4"/>
    </row>
    <row r="35" spans="1:11" ht="15" thickBot="1" x14ac:dyDescent="0.35">
      <c r="A35" s="2">
        <v>32</v>
      </c>
      <c r="B35" s="4" t="s">
        <v>36</v>
      </c>
      <c r="C35" s="4"/>
      <c r="D35" s="4"/>
      <c r="E35" s="4">
        <v>120</v>
      </c>
      <c r="F35" s="5"/>
      <c r="G35" s="4"/>
      <c r="H35" s="4"/>
      <c r="I35" s="4"/>
      <c r="J35" s="5"/>
      <c r="K35" s="4" t="s">
        <v>32</v>
      </c>
    </row>
    <row r="36" spans="1:11" ht="15" thickBot="1" x14ac:dyDescent="0.35">
      <c r="A36" s="2">
        <v>33</v>
      </c>
      <c r="B36" s="4" t="s">
        <v>37</v>
      </c>
      <c r="C36" s="4"/>
      <c r="D36" s="4">
        <v>5</v>
      </c>
      <c r="E36" s="4"/>
      <c r="F36" s="5"/>
      <c r="G36" s="5"/>
      <c r="H36" s="4"/>
      <c r="I36" s="4"/>
      <c r="J36" s="4"/>
      <c r="K36" s="4"/>
    </row>
    <row r="37" spans="1:11" ht="15" thickBot="1" x14ac:dyDescent="0.35">
      <c r="A37" s="2">
        <v>34</v>
      </c>
      <c r="B37" s="4" t="s">
        <v>38</v>
      </c>
      <c r="C37" s="4"/>
      <c r="D37" s="4"/>
      <c r="E37" s="4">
        <v>30</v>
      </c>
      <c r="F37" s="5"/>
      <c r="G37" s="4"/>
      <c r="H37" s="4"/>
      <c r="I37" s="4"/>
      <c r="J37" s="4"/>
      <c r="K37" s="4"/>
    </row>
    <row r="38" spans="1:11" ht="15" thickBot="1" x14ac:dyDescent="0.35">
      <c r="A38" s="2">
        <v>35</v>
      </c>
      <c r="B38" s="4" t="s">
        <v>33</v>
      </c>
      <c r="C38" s="4"/>
      <c r="D38" s="4"/>
      <c r="E38" s="4">
        <v>1410</v>
      </c>
      <c r="F38" s="4"/>
      <c r="G38" s="5"/>
      <c r="H38" s="4"/>
      <c r="I38" s="4"/>
      <c r="J38" s="4"/>
      <c r="K38" s="4" t="s">
        <v>32</v>
      </c>
    </row>
    <row r="39" spans="1:11" ht="15" thickBot="1" x14ac:dyDescent="0.35">
      <c r="A39" s="2">
        <v>36</v>
      </c>
      <c r="B39" s="4" t="s">
        <v>39</v>
      </c>
      <c r="C39" s="4"/>
      <c r="D39" s="4">
        <v>5</v>
      </c>
      <c r="E39" s="4"/>
      <c r="F39" s="5"/>
      <c r="G39" s="5"/>
      <c r="H39" s="4"/>
      <c r="I39" s="4"/>
      <c r="J39" s="4"/>
      <c r="K39" s="4"/>
    </row>
    <row r="40" spans="1:11" ht="15" thickBot="1" x14ac:dyDescent="0.35">
      <c r="A40" s="2">
        <v>37</v>
      </c>
      <c r="B40" s="4" t="s">
        <v>40</v>
      </c>
      <c r="C40" s="4"/>
      <c r="D40" s="4"/>
      <c r="E40" s="4">
        <v>10</v>
      </c>
      <c r="F40" s="5"/>
      <c r="G40" s="4"/>
      <c r="H40" s="5"/>
      <c r="I40" s="4"/>
      <c r="J40" s="4"/>
      <c r="K40" s="4"/>
    </row>
    <row r="41" spans="1:11" ht="15" thickBot="1" x14ac:dyDescent="0.35">
      <c r="A41" s="2">
        <v>38</v>
      </c>
      <c r="B41" s="4" t="s">
        <v>11</v>
      </c>
      <c r="C41" s="4"/>
      <c r="D41" s="4"/>
      <c r="E41" s="4">
        <v>3</v>
      </c>
      <c r="F41" s="4"/>
      <c r="G41" s="5"/>
      <c r="H41" s="4"/>
      <c r="I41" s="5"/>
      <c r="J41" s="4"/>
      <c r="K41" s="4"/>
    </row>
    <row r="42" spans="1:11" ht="15" thickBot="1" x14ac:dyDescent="0.35">
      <c r="A42" s="2">
        <v>39</v>
      </c>
      <c r="B42" s="4" t="s">
        <v>22</v>
      </c>
      <c r="C42" s="4"/>
      <c r="D42" s="4">
        <v>7</v>
      </c>
      <c r="E42" s="4"/>
      <c r="F42" s="4"/>
      <c r="G42" s="5"/>
      <c r="H42" s="4"/>
      <c r="I42" s="4"/>
      <c r="J42" s="4"/>
      <c r="K42" s="4" t="s">
        <v>15</v>
      </c>
    </row>
    <row r="43" spans="1:11" ht="15" thickBot="1" x14ac:dyDescent="0.35">
      <c r="A43" s="2">
        <v>40</v>
      </c>
      <c r="B43" s="4" t="s">
        <v>10</v>
      </c>
      <c r="C43" s="4" t="s">
        <v>41</v>
      </c>
      <c r="D43" s="4"/>
      <c r="E43" s="4"/>
      <c r="F43" s="4"/>
      <c r="G43" s="4"/>
      <c r="H43" s="4"/>
      <c r="I43" s="5"/>
      <c r="J43" s="5"/>
      <c r="K43" s="4"/>
    </row>
    <row r="44" spans="1:11" ht="15" thickBot="1" x14ac:dyDescent="0.35">
      <c r="A44" s="2">
        <v>41</v>
      </c>
      <c r="B44" s="4" t="s">
        <v>11</v>
      </c>
      <c r="C44" s="4"/>
      <c r="D44" s="4"/>
      <c r="E44" s="4">
        <v>3</v>
      </c>
      <c r="F44" s="4"/>
      <c r="G44" s="4"/>
      <c r="H44" s="4"/>
      <c r="I44" s="5"/>
      <c r="J44" s="4"/>
      <c r="K44" s="4"/>
    </row>
    <row r="45" spans="1:11" ht="15" thickBot="1" x14ac:dyDescent="0.35">
      <c r="A45" s="2">
        <v>42</v>
      </c>
      <c r="B45" s="4" t="s">
        <v>42</v>
      </c>
      <c r="C45" s="4"/>
      <c r="D45" s="4">
        <v>2</v>
      </c>
      <c r="E45" s="4"/>
      <c r="F45" s="4"/>
      <c r="G45" s="5"/>
      <c r="H45" s="4"/>
      <c r="I45" s="4"/>
      <c r="J45" s="4"/>
      <c r="K45" s="4"/>
    </row>
    <row r="46" spans="1:11" ht="15" thickBot="1" x14ac:dyDescent="0.35">
      <c r="A46" s="2">
        <v>43</v>
      </c>
      <c r="B46" s="4" t="s">
        <v>13</v>
      </c>
      <c r="C46" s="4"/>
      <c r="D46" s="4"/>
      <c r="E46" s="4">
        <v>5</v>
      </c>
      <c r="F46" s="5"/>
      <c r="G46" s="4"/>
      <c r="H46" s="4"/>
      <c r="I46" s="4"/>
      <c r="J46" s="4"/>
      <c r="K46" s="4"/>
    </row>
    <row r="47" spans="1:11" ht="15" thickBot="1" x14ac:dyDescent="0.35">
      <c r="A47" s="2">
        <v>44</v>
      </c>
      <c r="B47" s="4" t="s">
        <v>43</v>
      </c>
      <c r="C47" s="4"/>
      <c r="D47" s="4">
        <v>6</v>
      </c>
      <c r="E47" s="4"/>
      <c r="F47" s="4"/>
      <c r="G47" s="5"/>
      <c r="H47" s="5"/>
      <c r="I47" s="4"/>
      <c r="J47" s="4"/>
      <c r="K47" s="4" t="s">
        <v>15</v>
      </c>
    </row>
    <row r="48" spans="1:11" ht="15" thickBot="1" x14ac:dyDescent="0.35">
      <c r="A48" s="2">
        <v>45</v>
      </c>
      <c r="B48" s="4" t="s">
        <v>44</v>
      </c>
      <c r="C48" s="4"/>
      <c r="D48" s="4"/>
      <c r="E48" s="4">
        <v>15</v>
      </c>
      <c r="F48" s="5"/>
      <c r="G48" s="4"/>
      <c r="H48" s="4"/>
      <c r="I48" s="4"/>
      <c r="J48" s="4"/>
      <c r="K48" s="4"/>
    </row>
    <row r="49" spans="1:11" ht="15" thickBot="1" x14ac:dyDescent="0.35">
      <c r="A49" s="2">
        <v>46</v>
      </c>
      <c r="B49" s="4" t="s">
        <v>45</v>
      </c>
      <c r="C49" s="4"/>
      <c r="D49" s="4">
        <v>3</v>
      </c>
      <c r="E49" s="4"/>
      <c r="F49" s="4"/>
      <c r="G49" s="5"/>
      <c r="H49" s="4"/>
      <c r="I49" s="4"/>
      <c r="J49" s="4"/>
      <c r="K49" s="4"/>
    </row>
    <row r="50" spans="1:11" ht="15" thickBot="1" x14ac:dyDescent="0.35">
      <c r="A50" s="2">
        <v>47</v>
      </c>
      <c r="B50" s="4" t="s">
        <v>29</v>
      </c>
      <c r="C50" s="4"/>
      <c r="D50" s="4"/>
      <c r="E50" s="4">
        <v>5</v>
      </c>
      <c r="F50" s="5"/>
      <c r="G50" s="4"/>
      <c r="H50" s="4"/>
      <c r="I50" s="4"/>
      <c r="J50" s="4"/>
      <c r="K50" s="4"/>
    </row>
    <row r="51" spans="1:11" ht="15" thickBot="1" x14ac:dyDescent="0.35">
      <c r="A51" s="2">
        <v>48</v>
      </c>
      <c r="B51" s="4" t="s">
        <v>11</v>
      </c>
      <c r="C51" s="4"/>
      <c r="D51" s="4"/>
      <c r="E51" s="4">
        <v>3</v>
      </c>
      <c r="F51" s="4"/>
      <c r="G51" s="4"/>
      <c r="H51" s="4"/>
      <c r="I51" s="4"/>
      <c r="J51" s="4"/>
      <c r="K51" s="4"/>
    </row>
    <row r="52" spans="1:11" ht="15" thickBot="1" x14ac:dyDescent="0.35">
      <c r="A52" s="2">
        <v>49</v>
      </c>
      <c r="B52" s="4" t="s">
        <v>22</v>
      </c>
      <c r="C52" s="4"/>
      <c r="D52" s="4">
        <v>10</v>
      </c>
      <c r="E52" s="4"/>
      <c r="F52" s="9"/>
      <c r="G52" s="11"/>
      <c r="H52" s="4"/>
      <c r="I52" s="4"/>
      <c r="J52" s="4"/>
      <c r="K52" s="4" t="s">
        <v>15</v>
      </c>
    </row>
    <row r="53" spans="1:11" ht="15" thickBot="1" x14ac:dyDescent="0.35">
      <c r="A53" s="2">
        <v>50</v>
      </c>
      <c r="B53" s="4" t="s">
        <v>10</v>
      </c>
      <c r="C53" s="4">
        <v>0.31</v>
      </c>
      <c r="D53" s="4"/>
      <c r="E53" s="4"/>
      <c r="F53" s="11"/>
      <c r="G53" s="4"/>
      <c r="H53" s="4"/>
      <c r="I53" s="4"/>
      <c r="J53" s="5"/>
      <c r="K53" s="4"/>
    </row>
    <row r="54" spans="1:11" ht="15" thickBot="1" x14ac:dyDescent="0.35">
      <c r="A54" s="2">
        <v>51</v>
      </c>
      <c r="B54" s="4" t="s">
        <v>11</v>
      </c>
      <c r="C54" s="4"/>
      <c r="D54" s="4"/>
      <c r="E54" s="4">
        <v>3</v>
      </c>
      <c r="F54" s="4"/>
      <c r="G54" s="4"/>
      <c r="H54" s="4"/>
      <c r="I54" s="5"/>
      <c r="J54" s="4"/>
      <c r="K54" s="4"/>
    </row>
    <row r="55" spans="1:11" ht="15" thickBot="1" x14ac:dyDescent="0.35">
      <c r="A55" s="2">
        <v>52</v>
      </c>
      <c r="B55" s="4" t="s">
        <v>46</v>
      </c>
      <c r="C55" s="4"/>
      <c r="D55" s="4">
        <v>2</v>
      </c>
      <c r="E55" s="4"/>
      <c r="F55" s="4"/>
      <c r="G55" s="5"/>
      <c r="H55" s="4"/>
      <c r="I55" s="4"/>
      <c r="J55" s="4"/>
      <c r="K55" s="4"/>
    </row>
    <row r="56" spans="1:11" ht="15" thickBot="1" x14ac:dyDescent="0.35">
      <c r="A56" s="2">
        <v>53</v>
      </c>
      <c r="B56" s="4" t="s">
        <v>13</v>
      </c>
      <c r="C56" s="4"/>
      <c r="D56" s="4"/>
      <c r="E56" s="4">
        <v>5</v>
      </c>
      <c r="F56" s="5"/>
      <c r="G56" s="4"/>
      <c r="H56" s="4"/>
      <c r="I56" s="5"/>
      <c r="J56" s="4"/>
      <c r="K56" s="4"/>
    </row>
    <row r="57" spans="1:11" ht="15" thickBot="1" x14ac:dyDescent="0.35">
      <c r="A57" s="2">
        <v>54</v>
      </c>
      <c r="B57" s="4" t="s">
        <v>47</v>
      </c>
      <c r="C57" s="4"/>
      <c r="D57" s="4">
        <v>6</v>
      </c>
      <c r="E57" s="4"/>
      <c r="F57" s="4"/>
      <c r="G57" s="5"/>
      <c r="H57" s="4"/>
      <c r="I57" s="4"/>
      <c r="J57" s="4"/>
      <c r="K57" s="4" t="s">
        <v>15</v>
      </c>
    </row>
    <row r="58" spans="1:11" ht="15" thickBot="1" x14ac:dyDescent="0.35">
      <c r="A58" s="2">
        <v>55</v>
      </c>
      <c r="B58" s="4" t="s">
        <v>48</v>
      </c>
      <c r="C58" s="4"/>
      <c r="D58" s="4"/>
      <c r="E58" s="4">
        <v>8</v>
      </c>
      <c r="F58" s="5"/>
      <c r="G58" s="4"/>
      <c r="H58" s="4"/>
      <c r="I58" s="4"/>
      <c r="J58" s="4"/>
      <c r="K58" s="4"/>
    </row>
    <row r="59" spans="1:11" ht="15" thickBot="1" x14ac:dyDescent="0.35">
      <c r="A59" s="2">
        <v>56</v>
      </c>
      <c r="B59" s="4" t="s">
        <v>49</v>
      </c>
      <c r="C59" s="4"/>
      <c r="D59" s="4">
        <v>3</v>
      </c>
      <c r="E59" s="4"/>
      <c r="F59" s="4"/>
      <c r="G59" s="5"/>
      <c r="H59" s="4"/>
      <c r="I59" s="4"/>
      <c r="J59" s="4"/>
      <c r="K59" s="4"/>
    </row>
    <row r="60" spans="1:11" ht="15" thickBot="1" x14ac:dyDescent="0.35">
      <c r="A60" s="2">
        <v>57</v>
      </c>
      <c r="B60" s="4" t="s">
        <v>29</v>
      </c>
      <c r="C60" s="4"/>
      <c r="D60" s="4"/>
      <c r="E60" s="4">
        <v>5</v>
      </c>
      <c r="F60" s="5"/>
      <c r="G60" s="4"/>
      <c r="H60" s="4"/>
      <c r="I60" s="4"/>
      <c r="J60" s="4"/>
      <c r="K60" s="4"/>
    </row>
    <row r="61" spans="1:11" ht="15" thickBot="1" x14ac:dyDescent="0.35">
      <c r="A61" s="2">
        <v>58</v>
      </c>
      <c r="B61" s="4" t="s">
        <v>11</v>
      </c>
      <c r="C61" s="4"/>
      <c r="D61" s="4"/>
      <c r="E61" s="4">
        <v>3</v>
      </c>
      <c r="F61" s="4"/>
      <c r="G61" s="4"/>
      <c r="H61" s="4"/>
      <c r="I61" s="4"/>
      <c r="J61" s="4"/>
      <c r="K61" s="4"/>
    </row>
    <row r="62" spans="1:11" ht="15" thickBot="1" x14ac:dyDescent="0.35">
      <c r="A62" s="2">
        <v>59</v>
      </c>
      <c r="B62" s="4" t="s">
        <v>22</v>
      </c>
      <c r="C62" s="4"/>
      <c r="D62" s="4">
        <v>10</v>
      </c>
      <c r="E62" s="4"/>
      <c r="F62" s="4"/>
      <c r="G62" s="5"/>
      <c r="H62" s="4"/>
      <c r="I62" s="4"/>
      <c r="J62" s="4"/>
      <c r="K62" s="4" t="s">
        <v>15</v>
      </c>
    </row>
    <row r="63" spans="1:11" ht="15" thickBot="1" x14ac:dyDescent="0.35">
      <c r="A63" s="2">
        <v>60</v>
      </c>
      <c r="B63" s="4" t="s">
        <v>50</v>
      </c>
      <c r="C63" s="4"/>
      <c r="D63" s="4"/>
      <c r="E63" s="4">
        <v>30</v>
      </c>
      <c r="F63" s="5"/>
      <c r="G63" s="4"/>
      <c r="H63" s="4"/>
      <c r="I63" s="5"/>
      <c r="J63" s="4"/>
      <c r="K63" s="4"/>
    </row>
    <row r="64" spans="1:11" ht="15" thickBot="1" x14ac:dyDescent="0.35">
      <c r="A64" s="2">
        <v>61</v>
      </c>
      <c r="B64" s="4" t="s">
        <v>11</v>
      </c>
      <c r="C64" s="4"/>
      <c r="D64" s="4"/>
      <c r="E64" s="4">
        <v>5</v>
      </c>
      <c r="F64" s="5"/>
      <c r="G64" s="5"/>
      <c r="H64" s="4"/>
      <c r="I64" s="5"/>
      <c r="J64" s="4"/>
      <c r="K64" s="4"/>
    </row>
    <row r="65" spans="1:11" ht="15" thickBot="1" x14ac:dyDescent="0.35">
      <c r="A65" s="2">
        <v>62</v>
      </c>
      <c r="B65" s="4" t="s">
        <v>51</v>
      </c>
      <c r="C65" s="4"/>
      <c r="D65" s="4">
        <v>7</v>
      </c>
      <c r="E65" s="4"/>
      <c r="F65" s="4"/>
      <c r="G65" s="5"/>
      <c r="H65" s="4"/>
      <c r="I65" s="4"/>
      <c r="J65" s="4"/>
      <c r="K65" s="4" t="s">
        <v>15</v>
      </c>
    </row>
    <row r="66" spans="1:11" ht="15" thickBot="1" x14ac:dyDescent="0.35">
      <c r="A66" s="2"/>
      <c r="B66" s="4" t="s">
        <v>52</v>
      </c>
      <c r="C66" s="4"/>
      <c r="D66" s="4">
        <f>SUM(D4:D65)</f>
        <v>144</v>
      </c>
      <c r="E66" s="4">
        <f>SUM(E4:E65)</f>
        <v>3186</v>
      </c>
      <c r="F66" s="6" cm="1">
        <f t="array" aca="1" ref="F66" ca="1">ContarCeldasConCirculos(F4:F65)</f>
        <v>19</v>
      </c>
      <c r="G66" s="6" cm="1">
        <f t="array" aca="1" ref="G66" ca="1">ContarCeldasConCirculos(G4:G65)</f>
        <v>25</v>
      </c>
      <c r="H66" s="6" cm="1">
        <f t="array" aca="1" ref="H66" ca="1">ContarCeldasConCirculos(H4:H65)</f>
        <v>2</v>
      </c>
      <c r="I66" s="6" cm="1">
        <f t="array" aca="1" ref="I66" ca="1">ContarCeldasConCirculos(I4:I65)</f>
        <v>11</v>
      </c>
      <c r="J66" s="6" cm="1">
        <f t="array" aca="1" ref="J66" ca="1">ContarCeldasConCirculos(J4:J65)</f>
        <v>5</v>
      </c>
      <c r="K66" s="3"/>
    </row>
  </sheetData>
  <mergeCells count="2">
    <mergeCell ref="B1:K1"/>
    <mergeCell ref="F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Cónico-Post</vt:lpstr>
      <vt:lpstr>Cónico</vt:lpstr>
      <vt:lpstr>Helicoidal Post</vt:lpstr>
      <vt:lpstr>Helicoidal</vt:lpstr>
      <vt:lpstr>Sinfin Corona Post</vt:lpstr>
      <vt:lpstr>Sinfin Corona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Cruz</dc:creator>
  <cp:lastModifiedBy>Samuel Cruz</cp:lastModifiedBy>
  <dcterms:created xsi:type="dcterms:W3CDTF">2025-10-10T21:14:04Z</dcterms:created>
  <dcterms:modified xsi:type="dcterms:W3CDTF">2025-12-05T18:31:01Z</dcterms:modified>
</cp:coreProperties>
</file>