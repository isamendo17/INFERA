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G:\Universidad\Trabajos_Mecatronica\9_Semestre\APM\"/>
    </mc:Choice>
  </mc:AlternateContent>
  <xr:revisionPtr revIDLastSave="0" documentId="13_ncr:1_{3C7FDE66-2E04-4FA5-9902-6C73E859D295}" xr6:coauthVersionLast="47" xr6:coauthVersionMax="47" xr10:uidLastSave="{00000000-0000-0000-0000-000000000000}"/>
  <bookViews>
    <workbookView xWindow="-108" yWindow="-108" windowWidth="23256" windowHeight="12456" xr2:uid="{248815DB-6665-4A6B-B951-9F5CE9CB6C63}"/>
  </bookViews>
  <sheets>
    <sheet name="Cónico" sheetId="6" r:id="rId1"/>
    <sheet name="Helicoidal" sheetId="5" r:id="rId2"/>
    <sheet name="Sinfin Corona" sheetId="1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8" i="6" l="1"/>
  <c r="C21" i="6"/>
  <c r="C4" i="6"/>
  <c r="E61" i="6"/>
  <c r="D61" i="6"/>
  <c r="C4" i="5"/>
  <c r="C17" i="5"/>
  <c r="E57" i="5"/>
  <c r="D57" i="5"/>
  <c r="E66" i="1"/>
  <c r="D66" i="1"/>
  <c r="G57" i="5" a="1"/>
  <c r="I61" i="6" a="1"/>
  <c r="J61" i="6" a="1"/>
  <c r="H66" i="1" a="1"/>
  <c r="J57" i="5" a="1"/>
  <c r="J66" i="1" a="1"/>
  <c r="I66" i="1" a="1"/>
  <c r="G66" i="1" a="1"/>
  <c r="F57" i="5" a="1"/>
  <c r="G61" i="6" a="1"/>
  <c r="I57" i="5" a="1"/>
  <c r="H57" i="5" a="1"/>
  <c r="H61" i="6" a="1"/>
  <c r="F61" i="6" a="1"/>
  <c r="F66" i="1" a="1"/>
  <c r="G61" i="6" l="1"/>
  <c r="H61" i="6"/>
  <c r="I61" i="6"/>
  <c r="F61" i="6"/>
  <c r="J61" i="6"/>
  <c r="G57" i="5"/>
  <c r="H57" i="5"/>
  <c r="I57" i="5"/>
  <c r="F57" i="5"/>
  <c r="J57" i="5"/>
  <c r="J66" i="1"/>
  <c r="I66" i="1"/>
  <c r="H66" i="1"/>
  <c r="G66" i="1"/>
  <c r="F6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<sst xmlns="http://schemas.openxmlformats.org/spreadsheetml/2006/main" count="257" uniqueCount="62">
  <si>
    <t>No.</t>
  </si>
  <si>
    <t>Elemento</t>
  </si>
  <si>
    <t>Cantidad</t>
  </si>
  <si>
    <t>Distancia</t>
  </si>
  <si>
    <t>Tiempo</t>
  </si>
  <si>
    <t>Símbolo</t>
  </si>
  <si>
    <t>Anotaciones</t>
  </si>
  <si>
    <t>kg</t>
  </si>
  <si>
    <t>m</t>
  </si>
  <si>
    <t>min</t>
  </si>
  <si>
    <t>Suministro Acero</t>
  </si>
  <si>
    <t>Inspeccionar</t>
  </si>
  <si>
    <t>Mover a A</t>
  </si>
  <si>
    <t>Cortar Material</t>
  </si>
  <si>
    <t>Mover a B</t>
  </si>
  <si>
    <t>Acercar</t>
  </si>
  <si>
    <t>Mecanizar Corona</t>
  </si>
  <si>
    <t>Mover a C</t>
  </si>
  <si>
    <t>Tallar Corona</t>
  </si>
  <si>
    <t>Mover a D</t>
  </si>
  <si>
    <t>Rectificar Dientes</t>
  </si>
  <si>
    <t>Mover a E</t>
  </si>
  <si>
    <t>Mover a F</t>
  </si>
  <si>
    <t>Mover a G</t>
  </si>
  <si>
    <t>Mover a H</t>
  </si>
  <si>
    <t>Cilindrar Material</t>
  </si>
  <si>
    <t>Mover a I</t>
  </si>
  <si>
    <t>Tornear Tornillo Sinfín</t>
  </si>
  <si>
    <t>Mover a J</t>
  </si>
  <si>
    <t>Fresar Cuñero</t>
  </si>
  <si>
    <t>Mover a N</t>
  </si>
  <si>
    <t>Tratar Térmicamente</t>
  </si>
  <si>
    <t>Reducir</t>
  </si>
  <si>
    <t>Esperar</t>
  </si>
  <si>
    <t>Suministro Faltante</t>
  </si>
  <si>
    <t>Mover a K</t>
  </si>
  <si>
    <t>Modelar Carcaza</t>
  </si>
  <si>
    <t>Mover a L</t>
  </si>
  <si>
    <t>Fundir Carcaza</t>
  </si>
  <si>
    <t>Mover a M</t>
  </si>
  <si>
    <t>Mecanizar Carcaza</t>
  </si>
  <si>
    <t>0.51</t>
  </si>
  <si>
    <t>Mover a O</t>
  </si>
  <si>
    <t>Mover a P</t>
  </si>
  <si>
    <t>Mecanizar Núcleo</t>
  </si>
  <si>
    <t>Mover a Q</t>
  </si>
  <si>
    <t>Mover a R</t>
  </si>
  <si>
    <t>Mover a S</t>
  </si>
  <si>
    <t>Mecanizar Eje</t>
  </si>
  <si>
    <t>Mover a T</t>
  </si>
  <si>
    <t>Ensamblar</t>
  </si>
  <si>
    <t>Mover a Almacén</t>
  </si>
  <si>
    <t>Total</t>
  </si>
  <si>
    <t>Operación: Fabricación Reductor Sinfín Corona</t>
  </si>
  <si>
    <t>Operación: Fabricación Reductor Helicoidal</t>
  </si>
  <si>
    <t>Mecanizar Piñón</t>
  </si>
  <si>
    <t>Tallar Piñón</t>
  </si>
  <si>
    <t>Mecanizar Rueda</t>
  </si>
  <si>
    <t>Tallar Rueda</t>
  </si>
  <si>
    <t>Operación: Fabricación Reductor Cónico</t>
  </si>
  <si>
    <t>CNC Dientes Rueda</t>
  </si>
  <si>
    <t>CNC Dientes Piñón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</si>
</sst>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theme="1"/>
      <name val="Aptos"/>
      <family val="2"/>
    </font>
    <font>
      <sz val="9"/>
      <color theme="1"/>
      <name val="Aptos"/>
      <family val="2"/>
    </font>
    <font>
      <sz val="10"/>
      <color theme="1"/>
      <name val="Aptos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1" xfId="0" applyFont="1" applyBorder="1" applyAlignment="1">
      <alignment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vertical="top" wrapText="1"/>
    </xf>
    <xf numFmtId="0" fontId="0" fillId="0" borderId="1" xfId="0" applyBorder="1"/>
    <xf numFmtId="0" fontId="1" fillId="0" borderId="1" xfId="0" applyFont="1" applyBorder="1" applyAlignment="1">
      <alignment vertical="top" wrapText="1"/>
    </xf>
    <xf numFmtId="0" fontId="1" fillId="0" borderId="1" xfId="0" applyFont="1" applyBorder="1" applyAlignment="1">
      <alignment horizontal="center" vertical="center" wrapText="1"/>
    </xf>
    <xf numFmtId="2" fontId="1" fillId="0" borderId="5" xfId="0" applyNumberFormat="1" applyFont="1" applyBorder="1" applyAlignment="1">
      <alignment horizontal="center" vertical="center" wrapText="1"/>
    </xf>
    <xf numFmtId="0" fontId="1" fillId="0" borderId="6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198966</xdr:colOff>
      <xdr:row>2</xdr:row>
      <xdr:rowOff>45797</xdr:rowOff>
    </xdr:from>
    <xdr:to>
      <xdr:col>5</xdr:col>
      <xdr:colOff>289771</xdr:colOff>
      <xdr:row>2</xdr:row>
      <xdr:rowOff>138507</xdr:rowOff>
    </xdr:to>
    <xdr:sp macro="" textlink="">
      <xdr:nvSpPr>
        <xdr:cNvPr id="2" name="Elipse 1">
          <a:extLst>
            <a:ext uri="{FF2B5EF4-FFF2-40B4-BE49-F238E27FC236}">
              <a16:creationId xmlns:a16="http://schemas.microsoft.com/office/drawing/2014/main" id="{76D15029-3E27-421C-ACD3-E067A09754D3}"/>
            </a:ext>
          </a:extLst>
        </xdr:cNvPr>
        <xdr:cNvSpPr/>
      </xdr:nvSpPr>
      <xdr:spPr>
        <a:xfrm>
          <a:off x="4397586" y="426797"/>
          <a:ext cx="90805" cy="92710"/>
        </a:xfrm>
        <a:prstGeom prst="ellipse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196273</xdr:colOff>
      <xdr:row>2</xdr:row>
      <xdr:rowOff>58497</xdr:rowOff>
    </xdr:from>
    <xdr:to>
      <xdr:col>8</xdr:col>
      <xdr:colOff>276283</xdr:colOff>
      <xdr:row>2</xdr:row>
      <xdr:rowOff>133427</xdr:rowOff>
    </xdr:to>
    <xdr:sp macro="" textlink="">
      <xdr:nvSpPr>
        <xdr:cNvPr id="3" name="Diagrama de flujo: proceso alternativo 2">
          <a:extLst>
            <a:ext uri="{FF2B5EF4-FFF2-40B4-BE49-F238E27FC236}">
              <a16:creationId xmlns:a16="http://schemas.microsoft.com/office/drawing/2014/main" id="{9E62EEC8-60BB-46F2-AC32-4CED1E4A913E}"/>
            </a:ext>
          </a:extLst>
        </xdr:cNvPr>
        <xdr:cNvSpPr/>
      </xdr:nvSpPr>
      <xdr:spPr>
        <a:xfrm>
          <a:off x="5835073" y="439497"/>
          <a:ext cx="80010" cy="74930"/>
        </a:xfrm>
        <a:prstGeom prst="flowChartAlternateProcess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202638</xdr:colOff>
      <xdr:row>2</xdr:row>
      <xdr:rowOff>43607</xdr:rowOff>
    </xdr:from>
    <xdr:to>
      <xdr:col>9</xdr:col>
      <xdr:colOff>270583</xdr:colOff>
      <xdr:row>2</xdr:row>
      <xdr:rowOff>115362</xdr:rowOff>
    </xdr:to>
    <xdr:sp macro="" textlink="">
      <xdr:nvSpPr>
        <xdr:cNvPr id="4" name="Diagrama de flujo: combinar 3">
          <a:extLst>
            <a:ext uri="{FF2B5EF4-FFF2-40B4-BE49-F238E27FC236}">
              <a16:creationId xmlns:a16="http://schemas.microsoft.com/office/drawing/2014/main" id="{A4D094AF-B86D-4886-B8DA-9C42B5F6FAFF}"/>
            </a:ext>
          </a:extLst>
        </xdr:cNvPr>
        <xdr:cNvSpPr/>
      </xdr:nvSpPr>
      <xdr:spPr>
        <a:xfrm>
          <a:off x="6321498" y="424607"/>
          <a:ext cx="67945" cy="71755"/>
        </a:xfrm>
        <a:prstGeom prst="flowChartMerge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188961</xdr:colOff>
      <xdr:row>2</xdr:row>
      <xdr:rowOff>58497</xdr:rowOff>
    </xdr:from>
    <xdr:to>
      <xdr:col>7</xdr:col>
      <xdr:colOff>286116</xdr:colOff>
      <xdr:row>2</xdr:row>
      <xdr:rowOff>138507</xdr:rowOff>
    </xdr:to>
    <xdr:sp macro="" textlink="">
      <xdr:nvSpPr>
        <xdr:cNvPr id="5" name="Diagrama de flujo: retraso 4">
          <a:extLst>
            <a:ext uri="{FF2B5EF4-FFF2-40B4-BE49-F238E27FC236}">
              <a16:creationId xmlns:a16="http://schemas.microsoft.com/office/drawing/2014/main" id="{15FF95DC-8FD7-4DEF-B9CB-80BB84CCBAC0}"/>
            </a:ext>
          </a:extLst>
        </xdr:cNvPr>
        <xdr:cNvSpPr/>
      </xdr:nvSpPr>
      <xdr:spPr>
        <a:xfrm>
          <a:off x="5347701" y="439497"/>
          <a:ext cx="97155" cy="80010"/>
        </a:xfrm>
        <a:prstGeom prst="flowChartDelay">
          <a:avLst/>
        </a:prstGeom>
        <a:ln>
          <a:solidFill>
            <a:schemeClr val="tx2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221673</xdr:colOff>
      <xdr:row>2</xdr:row>
      <xdr:rowOff>61191</xdr:rowOff>
    </xdr:from>
    <xdr:to>
      <xdr:col>6</xdr:col>
      <xdr:colOff>301683</xdr:colOff>
      <xdr:row>2</xdr:row>
      <xdr:rowOff>132311</xdr:rowOff>
    </xdr:to>
    <xdr:sp macro="" textlink="">
      <xdr:nvSpPr>
        <xdr:cNvPr id="6" name="Flecha: a la derecha 5">
          <a:extLst>
            <a:ext uri="{FF2B5EF4-FFF2-40B4-BE49-F238E27FC236}">
              <a16:creationId xmlns:a16="http://schemas.microsoft.com/office/drawing/2014/main" id="{C5C35D9D-377C-4A54-BC6F-E1BE2B4E0A3A}"/>
            </a:ext>
          </a:extLst>
        </xdr:cNvPr>
        <xdr:cNvSpPr/>
      </xdr:nvSpPr>
      <xdr:spPr>
        <a:xfrm>
          <a:off x="4900353" y="442191"/>
          <a:ext cx="80010" cy="7112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</xdr:row>
      <xdr:rowOff>60960</xdr:rowOff>
    </xdr:from>
    <xdr:to>
      <xdr:col>6</xdr:col>
      <xdr:colOff>263525</xdr:colOff>
      <xdr:row>5</xdr:row>
      <xdr:rowOff>106045</xdr:rowOff>
    </xdr:to>
    <xdr:sp macro="" textlink="">
      <xdr:nvSpPr>
        <xdr:cNvPr id="7" name="Elipse 6">
          <a:extLst>
            <a:ext uri="{FF2B5EF4-FFF2-40B4-BE49-F238E27FC236}">
              <a16:creationId xmlns:a16="http://schemas.microsoft.com/office/drawing/2014/main" id="{40F5E43F-070E-485E-84AA-41169495DBCD}"/>
            </a:ext>
          </a:extLst>
        </xdr:cNvPr>
        <xdr:cNvSpPr/>
      </xdr:nvSpPr>
      <xdr:spPr>
        <a:xfrm>
          <a:off x="4897120" y="1013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6</xdr:row>
      <xdr:rowOff>60960</xdr:rowOff>
    </xdr:from>
    <xdr:to>
      <xdr:col>5</xdr:col>
      <xdr:colOff>263525</xdr:colOff>
      <xdr:row>6</xdr:row>
      <xdr:rowOff>106045</xdr:rowOff>
    </xdr:to>
    <xdr:sp macro="" textlink="">
      <xdr:nvSpPr>
        <xdr:cNvPr id="8" name="Elipse 7">
          <a:extLst>
            <a:ext uri="{FF2B5EF4-FFF2-40B4-BE49-F238E27FC236}">
              <a16:creationId xmlns:a16="http://schemas.microsoft.com/office/drawing/2014/main" id="{DBFBD4F9-BBCF-4DD3-B07D-C82FABC89C5D}"/>
            </a:ext>
          </a:extLst>
        </xdr:cNvPr>
        <xdr:cNvSpPr/>
      </xdr:nvSpPr>
      <xdr:spPr>
        <a:xfrm>
          <a:off x="4417060" y="1203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7</xdr:row>
      <xdr:rowOff>68657</xdr:rowOff>
    </xdr:from>
    <xdr:to>
      <xdr:col>6</xdr:col>
      <xdr:colOff>263525</xdr:colOff>
      <xdr:row>7</xdr:row>
      <xdr:rowOff>113742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56533ED2-5948-4BD3-AF91-B3486DC60E53}"/>
            </a:ext>
          </a:extLst>
        </xdr:cNvPr>
        <xdr:cNvSpPr/>
      </xdr:nvSpPr>
      <xdr:spPr>
        <a:xfrm>
          <a:off x="4897120" y="140215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8</xdr:row>
      <xdr:rowOff>60960</xdr:rowOff>
    </xdr:from>
    <xdr:to>
      <xdr:col>5</xdr:col>
      <xdr:colOff>263525</xdr:colOff>
      <xdr:row>8</xdr:row>
      <xdr:rowOff>106045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FE61A61E-4422-4729-A5E5-2AA98919F5C0}"/>
            </a:ext>
          </a:extLst>
        </xdr:cNvPr>
        <xdr:cNvSpPr/>
      </xdr:nvSpPr>
      <xdr:spPr>
        <a:xfrm>
          <a:off x="4417060" y="1584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9</xdr:row>
      <xdr:rowOff>60960</xdr:rowOff>
    </xdr:from>
    <xdr:to>
      <xdr:col>6</xdr:col>
      <xdr:colOff>263525</xdr:colOff>
      <xdr:row>9</xdr:row>
      <xdr:rowOff>106045</xdr:rowOff>
    </xdr:to>
    <xdr:sp macro="" textlink="">
      <xdr:nvSpPr>
        <xdr:cNvPr id="11" name="Elipse 10">
          <a:extLst>
            <a:ext uri="{FF2B5EF4-FFF2-40B4-BE49-F238E27FC236}">
              <a16:creationId xmlns:a16="http://schemas.microsoft.com/office/drawing/2014/main" id="{32B0E715-424A-447B-B8FA-A1C9FB2ECB08}"/>
            </a:ext>
          </a:extLst>
        </xdr:cNvPr>
        <xdr:cNvSpPr/>
      </xdr:nvSpPr>
      <xdr:spPr>
        <a:xfrm>
          <a:off x="4897120" y="1775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10</xdr:row>
      <xdr:rowOff>60960</xdr:rowOff>
    </xdr:from>
    <xdr:to>
      <xdr:col>5</xdr:col>
      <xdr:colOff>263525</xdr:colOff>
      <xdr:row>10</xdr:row>
      <xdr:rowOff>106045</xdr:rowOff>
    </xdr:to>
    <xdr:sp macro="" textlink="">
      <xdr:nvSpPr>
        <xdr:cNvPr id="12" name="Elipse 11">
          <a:extLst>
            <a:ext uri="{FF2B5EF4-FFF2-40B4-BE49-F238E27FC236}">
              <a16:creationId xmlns:a16="http://schemas.microsoft.com/office/drawing/2014/main" id="{9BE2AE4C-0B62-4484-85D1-A2E9E52E66BF}"/>
            </a:ext>
          </a:extLst>
        </xdr:cNvPr>
        <xdr:cNvSpPr/>
      </xdr:nvSpPr>
      <xdr:spPr>
        <a:xfrm>
          <a:off x="4417060" y="1965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15</xdr:row>
      <xdr:rowOff>60960</xdr:rowOff>
    </xdr:from>
    <xdr:to>
      <xdr:col>6</xdr:col>
      <xdr:colOff>263525</xdr:colOff>
      <xdr:row>15</xdr:row>
      <xdr:rowOff>106045</xdr:rowOff>
    </xdr:to>
    <xdr:sp macro="" textlink="">
      <xdr:nvSpPr>
        <xdr:cNvPr id="13" name="Elipse 12">
          <a:extLst>
            <a:ext uri="{FF2B5EF4-FFF2-40B4-BE49-F238E27FC236}">
              <a16:creationId xmlns:a16="http://schemas.microsoft.com/office/drawing/2014/main" id="{C56A68A7-A2DA-43CA-A524-228F8921E340}"/>
            </a:ext>
          </a:extLst>
        </xdr:cNvPr>
        <xdr:cNvSpPr/>
      </xdr:nvSpPr>
      <xdr:spPr>
        <a:xfrm>
          <a:off x="4897120" y="2156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16</xdr:row>
      <xdr:rowOff>60960</xdr:rowOff>
    </xdr:from>
    <xdr:to>
      <xdr:col>5</xdr:col>
      <xdr:colOff>263525</xdr:colOff>
      <xdr:row>16</xdr:row>
      <xdr:rowOff>106045</xdr:rowOff>
    </xdr:to>
    <xdr:sp macro="" textlink="">
      <xdr:nvSpPr>
        <xdr:cNvPr id="14" name="Elipse 13">
          <a:extLst>
            <a:ext uri="{FF2B5EF4-FFF2-40B4-BE49-F238E27FC236}">
              <a16:creationId xmlns:a16="http://schemas.microsoft.com/office/drawing/2014/main" id="{A4070EB6-01C4-4B0E-B9D2-7C1FE409B006}"/>
            </a:ext>
          </a:extLst>
        </xdr:cNvPr>
        <xdr:cNvSpPr/>
      </xdr:nvSpPr>
      <xdr:spPr>
        <a:xfrm>
          <a:off x="4417060" y="2346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17</xdr:row>
      <xdr:rowOff>60960</xdr:rowOff>
    </xdr:from>
    <xdr:to>
      <xdr:col>6</xdr:col>
      <xdr:colOff>263525</xdr:colOff>
      <xdr:row>17</xdr:row>
      <xdr:rowOff>106045</xdr:rowOff>
    </xdr:to>
    <xdr:sp macro="" textlink="">
      <xdr:nvSpPr>
        <xdr:cNvPr id="15" name="Elipse 14">
          <a:extLst>
            <a:ext uri="{FF2B5EF4-FFF2-40B4-BE49-F238E27FC236}">
              <a16:creationId xmlns:a16="http://schemas.microsoft.com/office/drawing/2014/main" id="{0B47B405-B5E4-41FB-A6BE-81D7218CA58F}"/>
            </a:ext>
          </a:extLst>
        </xdr:cNvPr>
        <xdr:cNvSpPr/>
      </xdr:nvSpPr>
      <xdr:spPr>
        <a:xfrm>
          <a:off x="4897120" y="2537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19</xdr:row>
      <xdr:rowOff>60960</xdr:rowOff>
    </xdr:from>
    <xdr:to>
      <xdr:col>6</xdr:col>
      <xdr:colOff>263525</xdr:colOff>
      <xdr:row>19</xdr:row>
      <xdr:rowOff>106045</xdr:rowOff>
    </xdr:to>
    <xdr:sp macro="" textlink="">
      <xdr:nvSpPr>
        <xdr:cNvPr id="16" name="Elipse 15">
          <a:extLst>
            <a:ext uri="{FF2B5EF4-FFF2-40B4-BE49-F238E27FC236}">
              <a16:creationId xmlns:a16="http://schemas.microsoft.com/office/drawing/2014/main" id="{3AB64319-4079-4031-9977-A078A2F0EA95}"/>
            </a:ext>
          </a:extLst>
        </xdr:cNvPr>
        <xdr:cNvSpPr/>
      </xdr:nvSpPr>
      <xdr:spPr>
        <a:xfrm>
          <a:off x="4897120" y="2918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218440</xdr:colOff>
      <xdr:row>21</xdr:row>
      <xdr:rowOff>68657</xdr:rowOff>
    </xdr:from>
    <xdr:to>
      <xdr:col>8</xdr:col>
      <xdr:colOff>263525</xdr:colOff>
      <xdr:row>21</xdr:row>
      <xdr:rowOff>113742</xdr:rowOff>
    </xdr:to>
    <xdr:sp macro="" textlink="">
      <xdr:nvSpPr>
        <xdr:cNvPr id="17" name="Elipse 16">
          <a:extLst>
            <a:ext uri="{FF2B5EF4-FFF2-40B4-BE49-F238E27FC236}">
              <a16:creationId xmlns:a16="http://schemas.microsoft.com/office/drawing/2014/main" id="{7E0EA865-1981-4911-B5DA-75913DD99F34}"/>
            </a:ext>
          </a:extLst>
        </xdr:cNvPr>
        <xdr:cNvSpPr/>
      </xdr:nvSpPr>
      <xdr:spPr>
        <a:xfrm>
          <a:off x="5857240" y="330715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22</xdr:row>
      <xdr:rowOff>60960</xdr:rowOff>
    </xdr:from>
    <xdr:to>
      <xdr:col>6</xdr:col>
      <xdr:colOff>263525</xdr:colOff>
      <xdr:row>22</xdr:row>
      <xdr:rowOff>106045</xdr:rowOff>
    </xdr:to>
    <xdr:sp macro="" textlink="">
      <xdr:nvSpPr>
        <xdr:cNvPr id="18" name="Elipse 17">
          <a:extLst>
            <a:ext uri="{FF2B5EF4-FFF2-40B4-BE49-F238E27FC236}">
              <a16:creationId xmlns:a16="http://schemas.microsoft.com/office/drawing/2014/main" id="{01F126FF-CCFF-4C58-94A8-661E67FA47BA}"/>
            </a:ext>
          </a:extLst>
        </xdr:cNvPr>
        <xdr:cNvSpPr/>
      </xdr:nvSpPr>
      <xdr:spPr>
        <a:xfrm>
          <a:off x="4897120" y="3489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23</xdr:row>
      <xdr:rowOff>60960</xdr:rowOff>
    </xdr:from>
    <xdr:to>
      <xdr:col>5</xdr:col>
      <xdr:colOff>263525</xdr:colOff>
      <xdr:row>23</xdr:row>
      <xdr:rowOff>106045</xdr:rowOff>
    </xdr:to>
    <xdr:sp macro="" textlink="">
      <xdr:nvSpPr>
        <xdr:cNvPr id="19" name="Elipse 18">
          <a:extLst>
            <a:ext uri="{FF2B5EF4-FFF2-40B4-BE49-F238E27FC236}">
              <a16:creationId xmlns:a16="http://schemas.microsoft.com/office/drawing/2014/main" id="{6080665D-3754-4136-A5DC-DD161418EE57}"/>
            </a:ext>
          </a:extLst>
        </xdr:cNvPr>
        <xdr:cNvSpPr/>
      </xdr:nvSpPr>
      <xdr:spPr>
        <a:xfrm>
          <a:off x="4417060" y="3680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24</xdr:row>
      <xdr:rowOff>60960</xdr:rowOff>
    </xdr:from>
    <xdr:to>
      <xdr:col>6</xdr:col>
      <xdr:colOff>263525</xdr:colOff>
      <xdr:row>24</xdr:row>
      <xdr:rowOff>106045</xdr:rowOff>
    </xdr:to>
    <xdr:sp macro="" textlink="">
      <xdr:nvSpPr>
        <xdr:cNvPr id="20" name="Elipse 19">
          <a:extLst>
            <a:ext uri="{FF2B5EF4-FFF2-40B4-BE49-F238E27FC236}">
              <a16:creationId xmlns:a16="http://schemas.microsoft.com/office/drawing/2014/main" id="{456DEA3F-4114-4EA2-B2AB-70DCDCA12FA3}"/>
            </a:ext>
          </a:extLst>
        </xdr:cNvPr>
        <xdr:cNvSpPr/>
      </xdr:nvSpPr>
      <xdr:spPr>
        <a:xfrm>
          <a:off x="4897120" y="3870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25</xdr:row>
      <xdr:rowOff>60960</xdr:rowOff>
    </xdr:from>
    <xdr:to>
      <xdr:col>5</xdr:col>
      <xdr:colOff>263525</xdr:colOff>
      <xdr:row>25</xdr:row>
      <xdr:rowOff>106045</xdr:rowOff>
    </xdr:to>
    <xdr:sp macro="" textlink="">
      <xdr:nvSpPr>
        <xdr:cNvPr id="21" name="Elipse 20">
          <a:extLst>
            <a:ext uri="{FF2B5EF4-FFF2-40B4-BE49-F238E27FC236}">
              <a16:creationId xmlns:a16="http://schemas.microsoft.com/office/drawing/2014/main" id="{001F549B-22CA-43FB-8CD5-6E96DD798461}"/>
            </a:ext>
          </a:extLst>
        </xdr:cNvPr>
        <xdr:cNvSpPr/>
      </xdr:nvSpPr>
      <xdr:spPr>
        <a:xfrm>
          <a:off x="4417060" y="4061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18</xdr:row>
      <xdr:rowOff>76970</xdr:rowOff>
    </xdr:from>
    <xdr:to>
      <xdr:col>8</xdr:col>
      <xdr:colOff>260600</xdr:colOff>
      <xdr:row>18</xdr:row>
      <xdr:rowOff>122055</xdr:rowOff>
    </xdr:to>
    <xdr:sp macro="" textlink="">
      <xdr:nvSpPr>
        <xdr:cNvPr id="22" name="Elipse 21">
          <a:extLst>
            <a:ext uri="{FF2B5EF4-FFF2-40B4-BE49-F238E27FC236}">
              <a16:creationId xmlns:a16="http://schemas.microsoft.com/office/drawing/2014/main" id="{B10CB159-291B-4517-905A-6191BCBB9507}"/>
            </a:ext>
          </a:extLst>
        </xdr:cNvPr>
        <xdr:cNvSpPr/>
      </xdr:nvSpPr>
      <xdr:spPr>
        <a:xfrm>
          <a:off x="5854315" y="2743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</xdr:row>
      <xdr:rowOff>76970</xdr:rowOff>
    </xdr:from>
    <xdr:to>
      <xdr:col>8</xdr:col>
      <xdr:colOff>260600</xdr:colOff>
      <xdr:row>4</xdr:row>
      <xdr:rowOff>122055</xdr:rowOff>
    </xdr:to>
    <xdr:sp macro="" textlink="">
      <xdr:nvSpPr>
        <xdr:cNvPr id="23" name="Elipse 22">
          <a:extLst>
            <a:ext uri="{FF2B5EF4-FFF2-40B4-BE49-F238E27FC236}">
              <a16:creationId xmlns:a16="http://schemas.microsoft.com/office/drawing/2014/main" id="{0F4548B6-E8EC-48F6-B67A-CAD5B02C0AFD}"/>
            </a:ext>
          </a:extLst>
        </xdr:cNvPr>
        <xdr:cNvSpPr/>
      </xdr:nvSpPr>
      <xdr:spPr>
        <a:xfrm>
          <a:off x="5854315" y="838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28</xdr:row>
      <xdr:rowOff>60960</xdr:rowOff>
    </xdr:from>
    <xdr:to>
      <xdr:col>6</xdr:col>
      <xdr:colOff>263525</xdr:colOff>
      <xdr:row>28</xdr:row>
      <xdr:rowOff>106045</xdr:rowOff>
    </xdr:to>
    <xdr:sp macro="" textlink="">
      <xdr:nvSpPr>
        <xdr:cNvPr id="24" name="Elipse 23">
          <a:extLst>
            <a:ext uri="{FF2B5EF4-FFF2-40B4-BE49-F238E27FC236}">
              <a16:creationId xmlns:a16="http://schemas.microsoft.com/office/drawing/2014/main" id="{29D0F704-6F83-4D15-A70B-B4819C609E16}"/>
            </a:ext>
          </a:extLst>
        </xdr:cNvPr>
        <xdr:cNvSpPr/>
      </xdr:nvSpPr>
      <xdr:spPr>
        <a:xfrm>
          <a:off x="4897120" y="4251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3</xdr:row>
      <xdr:rowOff>69273</xdr:rowOff>
    </xdr:from>
    <xdr:to>
      <xdr:col>9</xdr:col>
      <xdr:colOff>260600</xdr:colOff>
      <xdr:row>3</xdr:row>
      <xdr:rowOff>114358</xdr:rowOff>
    </xdr:to>
    <xdr:sp macro="" textlink="">
      <xdr:nvSpPr>
        <xdr:cNvPr id="25" name="Elipse 24">
          <a:extLst>
            <a:ext uri="{FF2B5EF4-FFF2-40B4-BE49-F238E27FC236}">
              <a16:creationId xmlns:a16="http://schemas.microsoft.com/office/drawing/2014/main" id="{0EFD6E68-4F17-4D63-AFF8-38848F7FF14B}"/>
            </a:ext>
          </a:extLst>
        </xdr:cNvPr>
        <xdr:cNvSpPr/>
      </xdr:nvSpPr>
      <xdr:spPr>
        <a:xfrm>
          <a:off x="6334375" y="6407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29</xdr:row>
      <xdr:rowOff>60960</xdr:rowOff>
    </xdr:from>
    <xdr:to>
      <xdr:col>5</xdr:col>
      <xdr:colOff>263525</xdr:colOff>
      <xdr:row>29</xdr:row>
      <xdr:rowOff>106045</xdr:rowOff>
    </xdr:to>
    <xdr:sp macro="" textlink="">
      <xdr:nvSpPr>
        <xdr:cNvPr id="26" name="Elipse 25">
          <a:extLst>
            <a:ext uri="{FF2B5EF4-FFF2-40B4-BE49-F238E27FC236}">
              <a16:creationId xmlns:a16="http://schemas.microsoft.com/office/drawing/2014/main" id="{8BD34D7B-AE83-4F5A-B550-2B4B4FA33D1C}"/>
            </a:ext>
          </a:extLst>
        </xdr:cNvPr>
        <xdr:cNvSpPr/>
      </xdr:nvSpPr>
      <xdr:spPr>
        <a:xfrm>
          <a:off x="4417060" y="4442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207818</xdr:colOff>
      <xdr:row>30</xdr:row>
      <xdr:rowOff>61576</xdr:rowOff>
    </xdr:from>
    <xdr:to>
      <xdr:col>7</xdr:col>
      <xdr:colOff>252903</xdr:colOff>
      <xdr:row>30</xdr:row>
      <xdr:rowOff>106661</xdr:rowOff>
    </xdr:to>
    <xdr:sp macro="" textlink="">
      <xdr:nvSpPr>
        <xdr:cNvPr id="27" name="Elipse 26">
          <a:extLst>
            <a:ext uri="{FF2B5EF4-FFF2-40B4-BE49-F238E27FC236}">
              <a16:creationId xmlns:a16="http://schemas.microsoft.com/office/drawing/2014/main" id="{2ACD56AE-49C2-4E07-827A-C962E67E4355}"/>
            </a:ext>
          </a:extLst>
        </xdr:cNvPr>
        <xdr:cNvSpPr/>
      </xdr:nvSpPr>
      <xdr:spPr>
        <a:xfrm>
          <a:off x="5366558" y="4633576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35</xdr:row>
      <xdr:rowOff>76970</xdr:rowOff>
    </xdr:from>
    <xdr:to>
      <xdr:col>8</xdr:col>
      <xdr:colOff>260600</xdr:colOff>
      <xdr:row>35</xdr:row>
      <xdr:rowOff>122055</xdr:rowOff>
    </xdr:to>
    <xdr:sp macro="" textlink="">
      <xdr:nvSpPr>
        <xdr:cNvPr id="28" name="Elipse 27">
          <a:extLst>
            <a:ext uri="{FF2B5EF4-FFF2-40B4-BE49-F238E27FC236}">
              <a16:creationId xmlns:a16="http://schemas.microsoft.com/office/drawing/2014/main" id="{87DCD564-355C-4C11-A764-6FC9835A06B0}"/>
            </a:ext>
          </a:extLst>
        </xdr:cNvPr>
        <xdr:cNvSpPr/>
      </xdr:nvSpPr>
      <xdr:spPr>
        <a:xfrm>
          <a:off x="5854315" y="5601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36</xdr:row>
      <xdr:rowOff>60960</xdr:rowOff>
    </xdr:from>
    <xdr:to>
      <xdr:col>6</xdr:col>
      <xdr:colOff>263525</xdr:colOff>
      <xdr:row>36</xdr:row>
      <xdr:rowOff>106045</xdr:rowOff>
    </xdr:to>
    <xdr:sp macro="" textlink="">
      <xdr:nvSpPr>
        <xdr:cNvPr id="29" name="Elipse 28">
          <a:extLst>
            <a:ext uri="{FF2B5EF4-FFF2-40B4-BE49-F238E27FC236}">
              <a16:creationId xmlns:a16="http://schemas.microsoft.com/office/drawing/2014/main" id="{41A298C7-4D7C-4B5E-8CD9-85D80F3FAE94}"/>
            </a:ext>
          </a:extLst>
        </xdr:cNvPr>
        <xdr:cNvSpPr/>
      </xdr:nvSpPr>
      <xdr:spPr>
        <a:xfrm>
          <a:off x="4897120" y="5775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38</xdr:row>
      <xdr:rowOff>60960</xdr:rowOff>
    </xdr:from>
    <xdr:to>
      <xdr:col>6</xdr:col>
      <xdr:colOff>263525</xdr:colOff>
      <xdr:row>38</xdr:row>
      <xdr:rowOff>106045</xdr:rowOff>
    </xdr:to>
    <xdr:sp macro="" textlink="">
      <xdr:nvSpPr>
        <xdr:cNvPr id="30" name="Elipse 29">
          <a:extLst>
            <a:ext uri="{FF2B5EF4-FFF2-40B4-BE49-F238E27FC236}">
              <a16:creationId xmlns:a16="http://schemas.microsoft.com/office/drawing/2014/main" id="{3E794C7B-7068-44EB-876B-BEBD5F6F3AA1}"/>
            </a:ext>
          </a:extLst>
        </xdr:cNvPr>
        <xdr:cNvSpPr/>
      </xdr:nvSpPr>
      <xdr:spPr>
        <a:xfrm>
          <a:off x="4897120" y="6156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39</xdr:row>
      <xdr:rowOff>60960</xdr:rowOff>
    </xdr:from>
    <xdr:to>
      <xdr:col>5</xdr:col>
      <xdr:colOff>263525</xdr:colOff>
      <xdr:row>39</xdr:row>
      <xdr:rowOff>106045</xdr:rowOff>
    </xdr:to>
    <xdr:sp macro="" textlink="">
      <xdr:nvSpPr>
        <xdr:cNvPr id="31" name="Elipse 30">
          <a:extLst>
            <a:ext uri="{FF2B5EF4-FFF2-40B4-BE49-F238E27FC236}">
              <a16:creationId xmlns:a16="http://schemas.microsoft.com/office/drawing/2014/main" id="{99E50D8F-CEF7-4BA6-9C80-FDAF4B8C0E41}"/>
            </a:ext>
          </a:extLst>
        </xdr:cNvPr>
        <xdr:cNvSpPr/>
      </xdr:nvSpPr>
      <xdr:spPr>
        <a:xfrm>
          <a:off x="4417060" y="6347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40</xdr:row>
      <xdr:rowOff>60960</xdr:rowOff>
    </xdr:from>
    <xdr:to>
      <xdr:col>6</xdr:col>
      <xdr:colOff>263525</xdr:colOff>
      <xdr:row>40</xdr:row>
      <xdr:rowOff>106045</xdr:rowOff>
    </xdr:to>
    <xdr:sp macro="" textlink="">
      <xdr:nvSpPr>
        <xdr:cNvPr id="32" name="Elipse 31">
          <a:extLst>
            <a:ext uri="{FF2B5EF4-FFF2-40B4-BE49-F238E27FC236}">
              <a16:creationId xmlns:a16="http://schemas.microsoft.com/office/drawing/2014/main" id="{263128ED-040B-410B-823A-B932B8A39EB1}"/>
            </a:ext>
          </a:extLst>
        </xdr:cNvPr>
        <xdr:cNvSpPr/>
      </xdr:nvSpPr>
      <xdr:spPr>
        <a:xfrm>
          <a:off x="4897120" y="6537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41</xdr:row>
      <xdr:rowOff>60960</xdr:rowOff>
    </xdr:from>
    <xdr:to>
      <xdr:col>5</xdr:col>
      <xdr:colOff>263525</xdr:colOff>
      <xdr:row>41</xdr:row>
      <xdr:rowOff>106045</xdr:rowOff>
    </xdr:to>
    <xdr:sp macro="" textlink="">
      <xdr:nvSpPr>
        <xdr:cNvPr id="33" name="Elipse 32">
          <a:extLst>
            <a:ext uri="{FF2B5EF4-FFF2-40B4-BE49-F238E27FC236}">
              <a16:creationId xmlns:a16="http://schemas.microsoft.com/office/drawing/2014/main" id="{E926B3BB-B5C4-47DC-8422-4B73230CBC2B}"/>
            </a:ext>
          </a:extLst>
        </xdr:cNvPr>
        <xdr:cNvSpPr/>
      </xdr:nvSpPr>
      <xdr:spPr>
        <a:xfrm>
          <a:off x="4417060" y="6728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207818</xdr:colOff>
      <xdr:row>42</xdr:row>
      <xdr:rowOff>61576</xdr:rowOff>
    </xdr:from>
    <xdr:to>
      <xdr:col>7</xdr:col>
      <xdr:colOff>252903</xdr:colOff>
      <xdr:row>42</xdr:row>
      <xdr:rowOff>106661</xdr:rowOff>
    </xdr:to>
    <xdr:sp macro="" textlink="">
      <xdr:nvSpPr>
        <xdr:cNvPr id="34" name="Elipse 33">
          <a:extLst>
            <a:ext uri="{FF2B5EF4-FFF2-40B4-BE49-F238E27FC236}">
              <a16:creationId xmlns:a16="http://schemas.microsoft.com/office/drawing/2014/main" id="{59062DF4-0C03-4931-8371-FF67DA491DC9}"/>
            </a:ext>
          </a:extLst>
        </xdr:cNvPr>
        <xdr:cNvSpPr/>
      </xdr:nvSpPr>
      <xdr:spPr>
        <a:xfrm>
          <a:off x="5366558" y="6919576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43</xdr:row>
      <xdr:rowOff>60960</xdr:rowOff>
    </xdr:from>
    <xdr:to>
      <xdr:col>6</xdr:col>
      <xdr:colOff>263525</xdr:colOff>
      <xdr:row>43</xdr:row>
      <xdr:rowOff>106045</xdr:rowOff>
    </xdr:to>
    <xdr:sp macro="" textlink="">
      <xdr:nvSpPr>
        <xdr:cNvPr id="35" name="Elipse 34">
          <a:extLst>
            <a:ext uri="{FF2B5EF4-FFF2-40B4-BE49-F238E27FC236}">
              <a16:creationId xmlns:a16="http://schemas.microsoft.com/office/drawing/2014/main" id="{E83651FC-68B0-4FA6-8B3E-38B0F588578D}"/>
            </a:ext>
          </a:extLst>
        </xdr:cNvPr>
        <xdr:cNvSpPr/>
      </xdr:nvSpPr>
      <xdr:spPr>
        <a:xfrm>
          <a:off x="4897120" y="7109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44</xdr:row>
      <xdr:rowOff>60960</xdr:rowOff>
    </xdr:from>
    <xdr:to>
      <xdr:col>5</xdr:col>
      <xdr:colOff>263525</xdr:colOff>
      <xdr:row>44</xdr:row>
      <xdr:rowOff>106045</xdr:rowOff>
    </xdr:to>
    <xdr:sp macro="" textlink="">
      <xdr:nvSpPr>
        <xdr:cNvPr id="36" name="Elipse 35">
          <a:extLst>
            <a:ext uri="{FF2B5EF4-FFF2-40B4-BE49-F238E27FC236}">
              <a16:creationId xmlns:a16="http://schemas.microsoft.com/office/drawing/2014/main" id="{246DCBDC-080B-40D9-BBDB-9D2C11A0214E}"/>
            </a:ext>
          </a:extLst>
        </xdr:cNvPr>
        <xdr:cNvSpPr/>
      </xdr:nvSpPr>
      <xdr:spPr>
        <a:xfrm>
          <a:off x="4417060" y="7299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46</xdr:row>
      <xdr:rowOff>60960</xdr:rowOff>
    </xdr:from>
    <xdr:to>
      <xdr:col>6</xdr:col>
      <xdr:colOff>263525</xdr:colOff>
      <xdr:row>46</xdr:row>
      <xdr:rowOff>106045</xdr:rowOff>
    </xdr:to>
    <xdr:sp macro="" textlink="">
      <xdr:nvSpPr>
        <xdr:cNvPr id="37" name="Elipse 36">
          <a:extLst>
            <a:ext uri="{FF2B5EF4-FFF2-40B4-BE49-F238E27FC236}">
              <a16:creationId xmlns:a16="http://schemas.microsoft.com/office/drawing/2014/main" id="{30139D82-A2F8-43F7-B260-05BFD2A59845}"/>
            </a:ext>
          </a:extLst>
        </xdr:cNvPr>
        <xdr:cNvSpPr/>
      </xdr:nvSpPr>
      <xdr:spPr>
        <a:xfrm>
          <a:off x="4897120" y="7680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37</xdr:row>
      <xdr:rowOff>69273</xdr:rowOff>
    </xdr:from>
    <xdr:to>
      <xdr:col>9</xdr:col>
      <xdr:colOff>260600</xdr:colOff>
      <xdr:row>37</xdr:row>
      <xdr:rowOff>114358</xdr:rowOff>
    </xdr:to>
    <xdr:sp macro="" textlink="">
      <xdr:nvSpPr>
        <xdr:cNvPr id="38" name="Elipse 37">
          <a:extLst>
            <a:ext uri="{FF2B5EF4-FFF2-40B4-BE49-F238E27FC236}">
              <a16:creationId xmlns:a16="http://schemas.microsoft.com/office/drawing/2014/main" id="{72C991AE-D85F-449A-BB2C-293D4C1775D2}"/>
            </a:ext>
          </a:extLst>
        </xdr:cNvPr>
        <xdr:cNvSpPr/>
      </xdr:nvSpPr>
      <xdr:spPr>
        <a:xfrm>
          <a:off x="6334375" y="59747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20</xdr:row>
      <xdr:rowOff>69273</xdr:rowOff>
    </xdr:from>
    <xdr:to>
      <xdr:col>9</xdr:col>
      <xdr:colOff>260600</xdr:colOff>
      <xdr:row>20</xdr:row>
      <xdr:rowOff>114358</xdr:rowOff>
    </xdr:to>
    <xdr:sp macro="" textlink="">
      <xdr:nvSpPr>
        <xdr:cNvPr id="39" name="Elipse 38">
          <a:extLst>
            <a:ext uri="{FF2B5EF4-FFF2-40B4-BE49-F238E27FC236}">
              <a16:creationId xmlns:a16="http://schemas.microsoft.com/office/drawing/2014/main" id="{FFE31DDB-AA7A-4C8F-9772-360170136032}"/>
            </a:ext>
          </a:extLst>
        </xdr:cNvPr>
        <xdr:cNvSpPr/>
      </xdr:nvSpPr>
      <xdr:spPr>
        <a:xfrm>
          <a:off x="6334375" y="31172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47</xdr:row>
      <xdr:rowOff>69273</xdr:rowOff>
    </xdr:from>
    <xdr:to>
      <xdr:col>9</xdr:col>
      <xdr:colOff>260600</xdr:colOff>
      <xdr:row>47</xdr:row>
      <xdr:rowOff>114358</xdr:rowOff>
    </xdr:to>
    <xdr:sp macro="" textlink="">
      <xdr:nvSpPr>
        <xdr:cNvPr id="40" name="Elipse 39">
          <a:extLst>
            <a:ext uri="{FF2B5EF4-FFF2-40B4-BE49-F238E27FC236}">
              <a16:creationId xmlns:a16="http://schemas.microsoft.com/office/drawing/2014/main" id="{F6A13593-85BB-4EDB-A03E-C463B085D720}"/>
            </a:ext>
          </a:extLst>
        </xdr:cNvPr>
        <xdr:cNvSpPr/>
      </xdr:nvSpPr>
      <xdr:spPr>
        <a:xfrm>
          <a:off x="6334375" y="78797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49</xdr:row>
      <xdr:rowOff>60960</xdr:rowOff>
    </xdr:from>
    <xdr:to>
      <xdr:col>6</xdr:col>
      <xdr:colOff>263525</xdr:colOff>
      <xdr:row>49</xdr:row>
      <xdr:rowOff>106045</xdr:rowOff>
    </xdr:to>
    <xdr:sp macro="" textlink="">
      <xdr:nvSpPr>
        <xdr:cNvPr id="41" name="Elipse 40">
          <a:extLst>
            <a:ext uri="{FF2B5EF4-FFF2-40B4-BE49-F238E27FC236}">
              <a16:creationId xmlns:a16="http://schemas.microsoft.com/office/drawing/2014/main" id="{BBF9D7CC-0A77-4B37-A88C-9FBFD40C1888}"/>
            </a:ext>
          </a:extLst>
        </xdr:cNvPr>
        <xdr:cNvSpPr/>
      </xdr:nvSpPr>
      <xdr:spPr>
        <a:xfrm>
          <a:off x="4897120" y="8252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50</xdr:row>
      <xdr:rowOff>60960</xdr:rowOff>
    </xdr:from>
    <xdr:to>
      <xdr:col>5</xdr:col>
      <xdr:colOff>263525</xdr:colOff>
      <xdr:row>50</xdr:row>
      <xdr:rowOff>106045</xdr:rowOff>
    </xdr:to>
    <xdr:sp macro="" textlink="">
      <xdr:nvSpPr>
        <xdr:cNvPr id="42" name="Elipse 41">
          <a:extLst>
            <a:ext uri="{FF2B5EF4-FFF2-40B4-BE49-F238E27FC236}">
              <a16:creationId xmlns:a16="http://schemas.microsoft.com/office/drawing/2014/main" id="{99062F59-A95C-469A-988D-94530221A9E4}"/>
            </a:ext>
          </a:extLst>
        </xdr:cNvPr>
        <xdr:cNvSpPr/>
      </xdr:nvSpPr>
      <xdr:spPr>
        <a:xfrm>
          <a:off x="4417060" y="8442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51</xdr:row>
      <xdr:rowOff>60960</xdr:rowOff>
    </xdr:from>
    <xdr:to>
      <xdr:col>6</xdr:col>
      <xdr:colOff>263525</xdr:colOff>
      <xdr:row>51</xdr:row>
      <xdr:rowOff>106045</xdr:rowOff>
    </xdr:to>
    <xdr:sp macro="" textlink="">
      <xdr:nvSpPr>
        <xdr:cNvPr id="43" name="Elipse 42">
          <a:extLst>
            <a:ext uri="{FF2B5EF4-FFF2-40B4-BE49-F238E27FC236}">
              <a16:creationId xmlns:a16="http://schemas.microsoft.com/office/drawing/2014/main" id="{AA0A6190-C8A7-409E-9A17-816A4A6C7291}"/>
            </a:ext>
          </a:extLst>
        </xdr:cNvPr>
        <xdr:cNvSpPr/>
      </xdr:nvSpPr>
      <xdr:spPr>
        <a:xfrm>
          <a:off x="4897120" y="8633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52</xdr:row>
      <xdr:rowOff>60960</xdr:rowOff>
    </xdr:from>
    <xdr:to>
      <xdr:col>5</xdr:col>
      <xdr:colOff>263525</xdr:colOff>
      <xdr:row>52</xdr:row>
      <xdr:rowOff>106045</xdr:rowOff>
    </xdr:to>
    <xdr:sp macro="" textlink="">
      <xdr:nvSpPr>
        <xdr:cNvPr id="44" name="Elipse 43">
          <a:extLst>
            <a:ext uri="{FF2B5EF4-FFF2-40B4-BE49-F238E27FC236}">
              <a16:creationId xmlns:a16="http://schemas.microsoft.com/office/drawing/2014/main" id="{CDE26CF1-DE1C-4912-9DCB-E23C468EF2FE}"/>
            </a:ext>
          </a:extLst>
        </xdr:cNvPr>
        <xdr:cNvSpPr/>
      </xdr:nvSpPr>
      <xdr:spPr>
        <a:xfrm>
          <a:off x="4417060" y="8823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53</xdr:row>
      <xdr:rowOff>60960</xdr:rowOff>
    </xdr:from>
    <xdr:to>
      <xdr:col>6</xdr:col>
      <xdr:colOff>263525</xdr:colOff>
      <xdr:row>53</xdr:row>
      <xdr:rowOff>106045</xdr:rowOff>
    </xdr:to>
    <xdr:sp macro="" textlink="">
      <xdr:nvSpPr>
        <xdr:cNvPr id="45" name="Elipse 44">
          <a:extLst>
            <a:ext uri="{FF2B5EF4-FFF2-40B4-BE49-F238E27FC236}">
              <a16:creationId xmlns:a16="http://schemas.microsoft.com/office/drawing/2014/main" id="{B23D5D80-91AF-49C9-854F-B471E667CE14}"/>
            </a:ext>
          </a:extLst>
        </xdr:cNvPr>
        <xdr:cNvSpPr/>
      </xdr:nvSpPr>
      <xdr:spPr>
        <a:xfrm>
          <a:off x="4897120" y="9014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54</xdr:row>
      <xdr:rowOff>60960</xdr:rowOff>
    </xdr:from>
    <xdr:to>
      <xdr:col>5</xdr:col>
      <xdr:colOff>263525</xdr:colOff>
      <xdr:row>54</xdr:row>
      <xdr:rowOff>106045</xdr:rowOff>
    </xdr:to>
    <xdr:sp macro="" textlink="">
      <xdr:nvSpPr>
        <xdr:cNvPr id="46" name="Elipse 45">
          <a:extLst>
            <a:ext uri="{FF2B5EF4-FFF2-40B4-BE49-F238E27FC236}">
              <a16:creationId xmlns:a16="http://schemas.microsoft.com/office/drawing/2014/main" id="{DBB2D4EE-E984-4BCB-A711-499F0BECFD1C}"/>
            </a:ext>
          </a:extLst>
        </xdr:cNvPr>
        <xdr:cNvSpPr/>
      </xdr:nvSpPr>
      <xdr:spPr>
        <a:xfrm>
          <a:off x="4417060" y="9204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56</xdr:row>
      <xdr:rowOff>60960</xdr:rowOff>
    </xdr:from>
    <xdr:to>
      <xdr:col>6</xdr:col>
      <xdr:colOff>263525</xdr:colOff>
      <xdr:row>56</xdr:row>
      <xdr:rowOff>106045</xdr:rowOff>
    </xdr:to>
    <xdr:sp macro="" textlink="">
      <xdr:nvSpPr>
        <xdr:cNvPr id="47" name="Elipse 46">
          <a:extLst>
            <a:ext uri="{FF2B5EF4-FFF2-40B4-BE49-F238E27FC236}">
              <a16:creationId xmlns:a16="http://schemas.microsoft.com/office/drawing/2014/main" id="{BE90086E-854F-422B-9F3B-69ADC9764260}"/>
            </a:ext>
          </a:extLst>
        </xdr:cNvPr>
        <xdr:cNvSpPr/>
      </xdr:nvSpPr>
      <xdr:spPr>
        <a:xfrm>
          <a:off x="4897120" y="9585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57</xdr:row>
      <xdr:rowOff>60960</xdr:rowOff>
    </xdr:from>
    <xdr:to>
      <xdr:col>5</xdr:col>
      <xdr:colOff>263525</xdr:colOff>
      <xdr:row>57</xdr:row>
      <xdr:rowOff>106045</xdr:rowOff>
    </xdr:to>
    <xdr:sp macro="" textlink="">
      <xdr:nvSpPr>
        <xdr:cNvPr id="48" name="Elipse 47">
          <a:extLst>
            <a:ext uri="{FF2B5EF4-FFF2-40B4-BE49-F238E27FC236}">
              <a16:creationId xmlns:a16="http://schemas.microsoft.com/office/drawing/2014/main" id="{29BA6897-65F3-4295-9A7E-22984708F822}"/>
            </a:ext>
          </a:extLst>
        </xdr:cNvPr>
        <xdr:cNvSpPr/>
      </xdr:nvSpPr>
      <xdr:spPr>
        <a:xfrm>
          <a:off x="4417060" y="9776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59</xdr:row>
      <xdr:rowOff>60960</xdr:rowOff>
    </xdr:from>
    <xdr:to>
      <xdr:col>6</xdr:col>
      <xdr:colOff>263525</xdr:colOff>
      <xdr:row>59</xdr:row>
      <xdr:rowOff>106045</xdr:rowOff>
    </xdr:to>
    <xdr:sp macro="" textlink="">
      <xdr:nvSpPr>
        <xdr:cNvPr id="49" name="Elipse 48">
          <a:extLst>
            <a:ext uri="{FF2B5EF4-FFF2-40B4-BE49-F238E27FC236}">
              <a16:creationId xmlns:a16="http://schemas.microsoft.com/office/drawing/2014/main" id="{BC09BF24-D6DE-4EDE-AA37-C99D349E6EC4}"/>
            </a:ext>
          </a:extLst>
        </xdr:cNvPr>
        <xdr:cNvSpPr/>
      </xdr:nvSpPr>
      <xdr:spPr>
        <a:xfrm>
          <a:off x="4897120" y="10157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45</xdr:row>
      <xdr:rowOff>76970</xdr:rowOff>
    </xdr:from>
    <xdr:to>
      <xdr:col>8</xdr:col>
      <xdr:colOff>260600</xdr:colOff>
      <xdr:row>45</xdr:row>
      <xdr:rowOff>122055</xdr:rowOff>
    </xdr:to>
    <xdr:sp macro="" textlink="">
      <xdr:nvSpPr>
        <xdr:cNvPr id="50" name="Elipse 49">
          <a:extLst>
            <a:ext uri="{FF2B5EF4-FFF2-40B4-BE49-F238E27FC236}">
              <a16:creationId xmlns:a16="http://schemas.microsoft.com/office/drawing/2014/main" id="{0823CF70-05E3-4246-A1B1-627B195E26CE}"/>
            </a:ext>
          </a:extLst>
        </xdr:cNvPr>
        <xdr:cNvSpPr/>
      </xdr:nvSpPr>
      <xdr:spPr>
        <a:xfrm>
          <a:off x="5854315" y="7506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48</xdr:row>
      <xdr:rowOff>76970</xdr:rowOff>
    </xdr:from>
    <xdr:to>
      <xdr:col>8</xdr:col>
      <xdr:colOff>260600</xdr:colOff>
      <xdr:row>48</xdr:row>
      <xdr:rowOff>122055</xdr:rowOff>
    </xdr:to>
    <xdr:sp macro="" textlink="">
      <xdr:nvSpPr>
        <xdr:cNvPr id="51" name="Elipse 50">
          <a:extLst>
            <a:ext uri="{FF2B5EF4-FFF2-40B4-BE49-F238E27FC236}">
              <a16:creationId xmlns:a16="http://schemas.microsoft.com/office/drawing/2014/main" id="{6BEA5DDC-04BD-4C46-98F5-E9B2EEBA244D}"/>
            </a:ext>
          </a:extLst>
        </xdr:cNvPr>
        <xdr:cNvSpPr/>
      </xdr:nvSpPr>
      <xdr:spPr>
        <a:xfrm>
          <a:off x="5854315" y="8077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55</xdr:row>
      <xdr:rowOff>76970</xdr:rowOff>
    </xdr:from>
    <xdr:to>
      <xdr:col>8</xdr:col>
      <xdr:colOff>260600</xdr:colOff>
      <xdr:row>55</xdr:row>
      <xdr:rowOff>122055</xdr:rowOff>
    </xdr:to>
    <xdr:sp macro="" textlink="">
      <xdr:nvSpPr>
        <xdr:cNvPr id="52" name="Elipse 51">
          <a:extLst>
            <a:ext uri="{FF2B5EF4-FFF2-40B4-BE49-F238E27FC236}">
              <a16:creationId xmlns:a16="http://schemas.microsoft.com/office/drawing/2014/main" id="{4647724A-5F0D-4C78-9B8F-1C497176E6B1}"/>
            </a:ext>
          </a:extLst>
        </xdr:cNvPr>
        <xdr:cNvSpPr/>
      </xdr:nvSpPr>
      <xdr:spPr>
        <a:xfrm>
          <a:off x="5854315" y="9411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58</xdr:row>
      <xdr:rowOff>76970</xdr:rowOff>
    </xdr:from>
    <xdr:to>
      <xdr:col>8</xdr:col>
      <xdr:colOff>260600</xdr:colOff>
      <xdr:row>58</xdr:row>
      <xdr:rowOff>122055</xdr:rowOff>
    </xdr:to>
    <xdr:sp macro="" textlink="">
      <xdr:nvSpPr>
        <xdr:cNvPr id="53" name="Elipse 52">
          <a:extLst>
            <a:ext uri="{FF2B5EF4-FFF2-40B4-BE49-F238E27FC236}">
              <a16:creationId xmlns:a16="http://schemas.microsoft.com/office/drawing/2014/main" id="{AE70D07C-9DD4-4C9E-9FFE-7A71A8F31EEF}"/>
            </a:ext>
          </a:extLst>
        </xdr:cNvPr>
        <xdr:cNvSpPr/>
      </xdr:nvSpPr>
      <xdr:spPr>
        <a:xfrm>
          <a:off x="5854315" y="9982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253997</xdr:colOff>
      <xdr:row>3</xdr:row>
      <xdr:rowOff>75876</xdr:rowOff>
    </xdr:from>
    <xdr:to>
      <xdr:col>9</xdr:col>
      <xdr:colOff>253997</xdr:colOff>
      <xdr:row>4</xdr:row>
      <xdr:rowOff>83573</xdr:rowOff>
    </xdr:to>
    <xdr:cxnSp macro="">
      <xdr:nvCxnSpPr>
        <xdr:cNvPr id="54" name="Conector recto 53">
          <a:extLst>
            <a:ext uri="{FF2B5EF4-FFF2-40B4-BE49-F238E27FC236}">
              <a16:creationId xmlns:a16="http://schemas.microsoft.com/office/drawing/2014/main" id="{7750117F-11CE-4E7E-AE7F-8BAACFEAB60E}"/>
            </a:ext>
          </a:extLst>
        </xdr:cNvPr>
        <xdr:cNvCxnSpPr>
          <a:stCxn id="25" idx="7"/>
          <a:endCxn id="23" idx="7"/>
        </xdr:cNvCxnSpPr>
      </xdr:nvCxnSpPr>
      <xdr:spPr>
        <a:xfrm flipH="1">
          <a:off x="5892797" y="647376"/>
          <a:ext cx="480060" cy="19819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</xdr:row>
      <xdr:rowOff>99513</xdr:rowOff>
    </xdr:from>
    <xdr:to>
      <xdr:col>8</xdr:col>
      <xdr:colOff>215515</xdr:colOff>
      <xdr:row>5</xdr:row>
      <xdr:rowOff>67563</xdr:rowOff>
    </xdr:to>
    <xdr:cxnSp macro="">
      <xdr:nvCxnSpPr>
        <xdr:cNvPr id="55" name="Conector recto 54">
          <a:extLst>
            <a:ext uri="{FF2B5EF4-FFF2-40B4-BE49-F238E27FC236}">
              <a16:creationId xmlns:a16="http://schemas.microsoft.com/office/drawing/2014/main" id="{ABC3E6F7-17D3-4EED-A1FD-A69736D0C715}"/>
            </a:ext>
          </a:extLst>
        </xdr:cNvPr>
        <xdr:cNvCxnSpPr>
          <a:stCxn id="7" idx="7"/>
          <a:endCxn id="23" idx="2"/>
        </xdr:cNvCxnSpPr>
      </xdr:nvCxnSpPr>
      <xdr:spPr>
        <a:xfrm flipV="1">
          <a:off x="4935602" y="861513"/>
          <a:ext cx="918713" cy="1585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</xdr:row>
      <xdr:rowOff>83503</xdr:rowOff>
    </xdr:from>
    <xdr:to>
      <xdr:col>6</xdr:col>
      <xdr:colOff>263525</xdr:colOff>
      <xdr:row>6</xdr:row>
      <xdr:rowOff>67563</xdr:rowOff>
    </xdr:to>
    <xdr:cxnSp macro="">
      <xdr:nvCxnSpPr>
        <xdr:cNvPr id="56" name="Conector recto 55">
          <a:extLst>
            <a:ext uri="{FF2B5EF4-FFF2-40B4-BE49-F238E27FC236}">
              <a16:creationId xmlns:a16="http://schemas.microsoft.com/office/drawing/2014/main" id="{04732F12-ADE6-4835-AA87-6B409B47C14B}"/>
            </a:ext>
          </a:extLst>
        </xdr:cNvPr>
        <xdr:cNvCxnSpPr>
          <a:stCxn id="8" idx="7"/>
          <a:endCxn id="7" idx="6"/>
        </xdr:cNvCxnSpPr>
      </xdr:nvCxnSpPr>
      <xdr:spPr>
        <a:xfrm flipV="1">
          <a:off x="4455542" y="1036003"/>
          <a:ext cx="486663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6</xdr:row>
      <xdr:rowOff>99442</xdr:rowOff>
    </xdr:from>
    <xdr:to>
      <xdr:col>6</xdr:col>
      <xdr:colOff>263525</xdr:colOff>
      <xdr:row>7</xdr:row>
      <xdr:rowOff>91200</xdr:rowOff>
    </xdr:to>
    <xdr:cxnSp macro="">
      <xdr:nvCxnSpPr>
        <xdr:cNvPr id="57" name="Conector recto 56">
          <a:extLst>
            <a:ext uri="{FF2B5EF4-FFF2-40B4-BE49-F238E27FC236}">
              <a16:creationId xmlns:a16="http://schemas.microsoft.com/office/drawing/2014/main" id="{48CFC624-C790-4DE2-A456-D42FEB8830AD}"/>
            </a:ext>
          </a:extLst>
        </xdr:cNvPr>
        <xdr:cNvCxnSpPr>
          <a:stCxn id="9" idx="6"/>
          <a:endCxn id="8" idx="5"/>
        </xdr:cNvCxnSpPr>
      </xdr:nvCxnSpPr>
      <xdr:spPr>
        <a:xfrm flipH="1" flipV="1">
          <a:off x="4455542" y="1242442"/>
          <a:ext cx="486663" cy="18225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7</xdr:row>
      <xdr:rowOff>113742</xdr:rowOff>
    </xdr:from>
    <xdr:to>
      <xdr:col>6</xdr:col>
      <xdr:colOff>240983</xdr:colOff>
      <xdr:row>8</xdr:row>
      <xdr:rowOff>60960</xdr:rowOff>
    </xdr:to>
    <xdr:cxnSp macro="">
      <xdr:nvCxnSpPr>
        <xdr:cNvPr id="58" name="Conector recto 57">
          <a:extLst>
            <a:ext uri="{FF2B5EF4-FFF2-40B4-BE49-F238E27FC236}">
              <a16:creationId xmlns:a16="http://schemas.microsoft.com/office/drawing/2014/main" id="{A37217D6-CE16-4A61-A2C5-CE0468BFA8C3}"/>
            </a:ext>
          </a:extLst>
        </xdr:cNvPr>
        <xdr:cNvCxnSpPr>
          <a:stCxn id="10" idx="0"/>
          <a:endCxn id="9" idx="4"/>
        </xdr:cNvCxnSpPr>
      </xdr:nvCxnSpPr>
      <xdr:spPr>
        <a:xfrm flipV="1">
          <a:off x="4439603" y="1447242"/>
          <a:ext cx="480060" cy="13771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8</xdr:row>
      <xdr:rowOff>83503</xdr:rowOff>
    </xdr:from>
    <xdr:to>
      <xdr:col>6</xdr:col>
      <xdr:colOff>256922</xdr:colOff>
      <xdr:row>9</xdr:row>
      <xdr:rowOff>67563</xdr:rowOff>
    </xdr:to>
    <xdr:cxnSp macro="">
      <xdr:nvCxnSpPr>
        <xdr:cNvPr id="59" name="Conector recto 58">
          <a:extLst>
            <a:ext uri="{FF2B5EF4-FFF2-40B4-BE49-F238E27FC236}">
              <a16:creationId xmlns:a16="http://schemas.microsoft.com/office/drawing/2014/main" id="{D5411FF1-68F0-4A87-9F7F-127DF6C608F0}"/>
            </a:ext>
          </a:extLst>
        </xdr:cNvPr>
        <xdr:cNvCxnSpPr>
          <a:stCxn id="11" idx="7"/>
          <a:endCxn id="10" idx="6"/>
        </xdr:cNvCxnSpPr>
      </xdr:nvCxnSpPr>
      <xdr:spPr>
        <a:xfrm flipH="1" flipV="1">
          <a:off x="4462145" y="1607503"/>
          <a:ext cx="473457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9</xdr:row>
      <xdr:rowOff>99442</xdr:rowOff>
    </xdr:from>
    <xdr:to>
      <xdr:col>6</xdr:col>
      <xdr:colOff>256922</xdr:colOff>
      <xdr:row>10</xdr:row>
      <xdr:rowOff>67563</xdr:rowOff>
    </xdr:to>
    <xdr:cxnSp macro="">
      <xdr:nvCxnSpPr>
        <xdr:cNvPr id="60" name="Conector recto 59">
          <a:extLst>
            <a:ext uri="{FF2B5EF4-FFF2-40B4-BE49-F238E27FC236}">
              <a16:creationId xmlns:a16="http://schemas.microsoft.com/office/drawing/2014/main" id="{A081F067-8C9A-4BAF-9DD4-CA20C57BBBA5}"/>
            </a:ext>
          </a:extLst>
        </xdr:cNvPr>
        <xdr:cNvCxnSpPr>
          <a:stCxn id="12" idx="7"/>
          <a:endCxn id="11" idx="5"/>
        </xdr:cNvCxnSpPr>
      </xdr:nvCxnSpPr>
      <xdr:spPr>
        <a:xfrm flipV="1">
          <a:off x="4455542" y="1813942"/>
          <a:ext cx="48006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240983</xdr:colOff>
      <xdr:row>14</xdr:row>
      <xdr:rowOff>115452</xdr:rowOff>
    </xdr:from>
    <xdr:to>
      <xdr:col>8</xdr:col>
      <xdr:colOff>222118</xdr:colOff>
      <xdr:row>15</xdr:row>
      <xdr:rowOff>60960</xdr:rowOff>
    </xdr:to>
    <xdr:cxnSp macro="">
      <xdr:nvCxnSpPr>
        <xdr:cNvPr id="61" name="Conector recto 60">
          <a:extLst>
            <a:ext uri="{FF2B5EF4-FFF2-40B4-BE49-F238E27FC236}">
              <a16:creationId xmlns:a16="http://schemas.microsoft.com/office/drawing/2014/main" id="{C92FE4C6-8784-4893-889F-108794445B52}"/>
            </a:ext>
          </a:extLst>
        </xdr:cNvPr>
        <xdr:cNvCxnSpPr>
          <a:stCxn id="13" idx="0"/>
          <a:endCxn id="116" idx="3"/>
        </xdr:cNvCxnSpPr>
      </xdr:nvCxnSpPr>
      <xdr:spPr>
        <a:xfrm flipV="1">
          <a:off x="4910448" y="2844475"/>
          <a:ext cx="938065" cy="14043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15</xdr:row>
      <xdr:rowOff>106045</xdr:rowOff>
    </xdr:from>
    <xdr:to>
      <xdr:col>6</xdr:col>
      <xdr:colOff>240983</xdr:colOff>
      <xdr:row>16</xdr:row>
      <xdr:rowOff>99442</xdr:rowOff>
    </xdr:to>
    <xdr:cxnSp macro="">
      <xdr:nvCxnSpPr>
        <xdr:cNvPr id="62" name="Conector recto 61">
          <a:extLst>
            <a:ext uri="{FF2B5EF4-FFF2-40B4-BE49-F238E27FC236}">
              <a16:creationId xmlns:a16="http://schemas.microsoft.com/office/drawing/2014/main" id="{5208455A-2980-4B43-8441-EECACFC481BA}"/>
            </a:ext>
          </a:extLst>
        </xdr:cNvPr>
        <xdr:cNvCxnSpPr>
          <a:stCxn id="14" idx="5"/>
          <a:endCxn id="13" idx="4"/>
        </xdr:cNvCxnSpPr>
      </xdr:nvCxnSpPr>
      <xdr:spPr>
        <a:xfrm flipV="1">
          <a:off x="4455542" y="2201545"/>
          <a:ext cx="464121" cy="183897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16</xdr:row>
      <xdr:rowOff>99442</xdr:rowOff>
    </xdr:from>
    <xdr:to>
      <xdr:col>6</xdr:col>
      <xdr:colOff>225043</xdr:colOff>
      <xdr:row>17</xdr:row>
      <xdr:rowOff>67563</xdr:rowOff>
    </xdr:to>
    <xdr:cxnSp macro="">
      <xdr:nvCxnSpPr>
        <xdr:cNvPr id="63" name="Conector recto 62">
          <a:extLst>
            <a:ext uri="{FF2B5EF4-FFF2-40B4-BE49-F238E27FC236}">
              <a16:creationId xmlns:a16="http://schemas.microsoft.com/office/drawing/2014/main" id="{C2863990-7B1C-4A81-B278-7388461D973C}"/>
            </a:ext>
          </a:extLst>
        </xdr:cNvPr>
        <xdr:cNvCxnSpPr>
          <a:stCxn id="15" idx="1"/>
          <a:endCxn id="14" idx="5"/>
        </xdr:cNvCxnSpPr>
      </xdr:nvCxnSpPr>
      <xdr:spPr>
        <a:xfrm flipH="1" flipV="1">
          <a:off x="4455542" y="2385442"/>
          <a:ext cx="448181" cy="158621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18</xdr:row>
      <xdr:rowOff>99513</xdr:rowOff>
    </xdr:from>
    <xdr:to>
      <xdr:col>8</xdr:col>
      <xdr:colOff>260600</xdr:colOff>
      <xdr:row>19</xdr:row>
      <xdr:rowOff>83503</xdr:rowOff>
    </xdr:to>
    <xdr:cxnSp macro="">
      <xdr:nvCxnSpPr>
        <xdr:cNvPr id="64" name="Conector recto 63">
          <a:extLst>
            <a:ext uri="{FF2B5EF4-FFF2-40B4-BE49-F238E27FC236}">
              <a16:creationId xmlns:a16="http://schemas.microsoft.com/office/drawing/2014/main" id="{1B6A4EED-FE22-4295-94C7-AE476A0D42B6}"/>
            </a:ext>
          </a:extLst>
        </xdr:cNvPr>
        <xdr:cNvCxnSpPr>
          <a:stCxn id="16" idx="6"/>
          <a:endCxn id="22" idx="6"/>
        </xdr:cNvCxnSpPr>
      </xdr:nvCxnSpPr>
      <xdr:spPr>
        <a:xfrm flipV="1">
          <a:off x="4942205" y="2766513"/>
          <a:ext cx="957195" cy="17449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17</xdr:row>
      <xdr:rowOff>83503</xdr:rowOff>
    </xdr:from>
    <xdr:to>
      <xdr:col>8</xdr:col>
      <xdr:colOff>253997</xdr:colOff>
      <xdr:row>18</xdr:row>
      <xdr:rowOff>115452</xdr:rowOff>
    </xdr:to>
    <xdr:cxnSp macro="">
      <xdr:nvCxnSpPr>
        <xdr:cNvPr id="65" name="Conector recto 64">
          <a:extLst>
            <a:ext uri="{FF2B5EF4-FFF2-40B4-BE49-F238E27FC236}">
              <a16:creationId xmlns:a16="http://schemas.microsoft.com/office/drawing/2014/main" id="{F78F66BA-9864-4287-9EEC-1A727F420502}"/>
            </a:ext>
          </a:extLst>
        </xdr:cNvPr>
        <xdr:cNvCxnSpPr>
          <a:stCxn id="15" idx="6"/>
          <a:endCxn id="22" idx="5"/>
        </xdr:cNvCxnSpPr>
      </xdr:nvCxnSpPr>
      <xdr:spPr>
        <a:xfrm>
          <a:off x="4942205" y="2560003"/>
          <a:ext cx="950592" cy="22244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19</xdr:row>
      <xdr:rowOff>83503</xdr:rowOff>
    </xdr:from>
    <xdr:to>
      <xdr:col>9</xdr:col>
      <xdr:colOff>253997</xdr:colOff>
      <xdr:row>20</xdr:row>
      <xdr:rowOff>107755</xdr:rowOff>
    </xdr:to>
    <xdr:cxnSp macro="">
      <xdr:nvCxnSpPr>
        <xdr:cNvPr id="66" name="Conector recto 65">
          <a:extLst>
            <a:ext uri="{FF2B5EF4-FFF2-40B4-BE49-F238E27FC236}">
              <a16:creationId xmlns:a16="http://schemas.microsoft.com/office/drawing/2014/main" id="{F9B98155-F9FA-411F-BF29-772AA17D4D17}"/>
            </a:ext>
          </a:extLst>
        </xdr:cNvPr>
        <xdr:cNvCxnSpPr>
          <a:stCxn id="39" idx="5"/>
          <a:endCxn id="16" idx="5"/>
        </xdr:cNvCxnSpPr>
      </xdr:nvCxnSpPr>
      <xdr:spPr>
        <a:xfrm flipH="1" flipV="1">
          <a:off x="4942205" y="2941003"/>
          <a:ext cx="1430652" cy="21475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225043</xdr:colOff>
      <xdr:row>21</xdr:row>
      <xdr:rowOff>91200</xdr:rowOff>
    </xdr:from>
    <xdr:to>
      <xdr:col>8</xdr:col>
      <xdr:colOff>218440</xdr:colOff>
      <xdr:row>22</xdr:row>
      <xdr:rowOff>99442</xdr:rowOff>
    </xdr:to>
    <xdr:cxnSp macro="">
      <xdr:nvCxnSpPr>
        <xdr:cNvPr id="67" name="Conector recto 66">
          <a:extLst>
            <a:ext uri="{FF2B5EF4-FFF2-40B4-BE49-F238E27FC236}">
              <a16:creationId xmlns:a16="http://schemas.microsoft.com/office/drawing/2014/main" id="{4B847E86-4728-46F3-B52C-8FC32F23972F}"/>
            </a:ext>
          </a:extLst>
        </xdr:cNvPr>
        <xdr:cNvCxnSpPr>
          <a:stCxn id="18" idx="3"/>
          <a:endCxn id="17" idx="2"/>
        </xdr:cNvCxnSpPr>
      </xdr:nvCxnSpPr>
      <xdr:spPr>
        <a:xfrm flipV="1">
          <a:off x="4903723" y="3329700"/>
          <a:ext cx="953517" cy="19874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22</xdr:row>
      <xdr:rowOff>99442</xdr:rowOff>
    </xdr:from>
    <xdr:to>
      <xdr:col>6</xdr:col>
      <xdr:colOff>225043</xdr:colOff>
      <xdr:row>23</xdr:row>
      <xdr:rowOff>67563</xdr:rowOff>
    </xdr:to>
    <xdr:cxnSp macro="">
      <xdr:nvCxnSpPr>
        <xdr:cNvPr id="68" name="Conector recto 67">
          <a:extLst>
            <a:ext uri="{FF2B5EF4-FFF2-40B4-BE49-F238E27FC236}">
              <a16:creationId xmlns:a16="http://schemas.microsoft.com/office/drawing/2014/main" id="{17AF233F-97A1-4E83-A393-AD87103E4C94}"/>
            </a:ext>
          </a:extLst>
        </xdr:cNvPr>
        <xdr:cNvCxnSpPr>
          <a:stCxn id="19" idx="7"/>
          <a:endCxn id="18" idx="3"/>
        </xdr:cNvCxnSpPr>
      </xdr:nvCxnSpPr>
      <xdr:spPr>
        <a:xfrm flipV="1">
          <a:off x="4455542" y="3528442"/>
          <a:ext cx="448181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23</xdr:row>
      <xdr:rowOff>106045</xdr:rowOff>
    </xdr:from>
    <xdr:to>
      <xdr:col>6</xdr:col>
      <xdr:colOff>225043</xdr:colOff>
      <xdr:row>24</xdr:row>
      <xdr:rowOff>67563</xdr:rowOff>
    </xdr:to>
    <xdr:cxnSp macro="">
      <xdr:nvCxnSpPr>
        <xdr:cNvPr id="69" name="Conector recto 68">
          <a:extLst>
            <a:ext uri="{FF2B5EF4-FFF2-40B4-BE49-F238E27FC236}">
              <a16:creationId xmlns:a16="http://schemas.microsoft.com/office/drawing/2014/main" id="{2BC49854-8655-41F6-8460-4F398E95CBC6}"/>
            </a:ext>
          </a:extLst>
        </xdr:cNvPr>
        <xdr:cNvCxnSpPr>
          <a:stCxn id="20" idx="1"/>
          <a:endCxn id="19" idx="4"/>
        </xdr:cNvCxnSpPr>
      </xdr:nvCxnSpPr>
      <xdr:spPr>
        <a:xfrm flipH="1" flipV="1">
          <a:off x="4439603" y="3725545"/>
          <a:ext cx="464120" cy="15201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27</xdr:row>
      <xdr:rowOff>67563</xdr:rowOff>
    </xdr:from>
    <xdr:to>
      <xdr:col>6</xdr:col>
      <xdr:colOff>240983</xdr:colOff>
      <xdr:row>28</xdr:row>
      <xdr:rowOff>60960</xdr:rowOff>
    </xdr:to>
    <xdr:cxnSp macro="">
      <xdr:nvCxnSpPr>
        <xdr:cNvPr id="70" name="Conector recto 69">
          <a:extLst>
            <a:ext uri="{FF2B5EF4-FFF2-40B4-BE49-F238E27FC236}">
              <a16:creationId xmlns:a16="http://schemas.microsoft.com/office/drawing/2014/main" id="{4DF36C7D-44AD-486E-9DFD-0B19E6282006}"/>
            </a:ext>
          </a:extLst>
        </xdr:cNvPr>
        <xdr:cNvCxnSpPr>
          <a:cxnSpLocks/>
          <a:stCxn id="24" idx="0"/>
          <a:endCxn id="121" idx="7"/>
        </xdr:cNvCxnSpPr>
      </xdr:nvCxnSpPr>
      <xdr:spPr>
        <a:xfrm flipH="1" flipV="1">
          <a:off x="4464855" y="5130630"/>
          <a:ext cx="466661" cy="18813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24</xdr:row>
      <xdr:rowOff>99442</xdr:rowOff>
    </xdr:from>
    <xdr:to>
      <xdr:col>6</xdr:col>
      <xdr:colOff>256922</xdr:colOff>
      <xdr:row>25</xdr:row>
      <xdr:rowOff>67563</xdr:rowOff>
    </xdr:to>
    <xdr:cxnSp macro="">
      <xdr:nvCxnSpPr>
        <xdr:cNvPr id="71" name="Conector recto 70">
          <a:extLst>
            <a:ext uri="{FF2B5EF4-FFF2-40B4-BE49-F238E27FC236}">
              <a16:creationId xmlns:a16="http://schemas.microsoft.com/office/drawing/2014/main" id="{0B80B4E6-EBC8-4F4D-8A58-92EB58E4FEBC}"/>
            </a:ext>
          </a:extLst>
        </xdr:cNvPr>
        <xdr:cNvCxnSpPr>
          <a:stCxn id="20" idx="5"/>
          <a:endCxn id="21" idx="7"/>
        </xdr:cNvCxnSpPr>
      </xdr:nvCxnSpPr>
      <xdr:spPr>
        <a:xfrm flipH="1">
          <a:off x="4455542" y="3909442"/>
          <a:ext cx="48006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28</xdr:row>
      <xdr:rowOff>99442</xdr:rowOff>
    </xdr:from>
    <xdr:to>
      <xdr:col>6</xdr:col>
      <xdr:colOff>225043</xdr:colOff>
      <xdr:row>29</xdr:row>
      <xdr:rowOff>99442</xdr:rowOff>
    </xdr:to>
    <xdr:cxnSp macro="">
      <xdr:nvCxnSpPr>
        <xdr:cNvPr id="72" name="Conector recto 71">
          <a:extLst>
            <a:ext uri="{FF2B5EF4-FFF2-40B4-BE49-F238E27FC236}">
              <a16:creationId xmlns:a16="http://schemas.microsoft.com/office/drawing/2014/main" id="{66C46531-9640-467F-9931-CA41B6293461}"/>
            </a:ext>
          </a:extLst>
        </xdr:cNvPr>
        <xdr:cNvCxnSpPr>
          <a:stCxn id="26" idx="3"/>
          <a:endCxn id="24" idx="3"/>
        </xdr:cNvCxnSpPr>
      </xdr:nvCxnSpPr>
      <xdr:spPr>
        <a:xfrm flipV="1">
          <a:off x="4423663" y="4290442"/>
          <a:ext cx="480060" cy="190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29</xdr:row>
      <xdr:rowOff>83503</xdr:rowOff>
    </xdr:from>
    <xdr:to>
      <xdr:col>7</xdr:col>
      <xdr:colOff>252903</xdr:colOff>
      <xdr:row>30</xdr:row>
      <xdr:rowOff>84119</xdr:rowOff>
    </xdr:to>
    <xdr:cxnSp macro="">
      <xdr:nvCxnSpPr>
        <xdr:cNvPr id="73" name="Conector recto 72">
          <a:extLst>
            <a:ext uri="{FF2B5EF4-FFF2-40B4-BE49-F238E27FC236}">
              <a16:creationId xmlns:a16="http://schemas.microsoft.com/office/drawing/2014/main" id="{FF60E175-77CB-4571-A98A-3CFE10399FAB}"/>
            </a:ext>
          </a:extLst>
        </xdr:cNvPr>
        <xdr:cNvCxnSpPr>
          <a:stCxn id="27" idx="6"/>
          <a:endCxn id="26" idx="5"/>
        </xdr:cNvCxnSpPr>
      </xdr:nvCxnSpPr>
      <xdr:spPr>
        <a:xfrm flipH="1" flipV="1">
          <a:off x="4462145" y="4465003"/>
          <a:ext cx="949498" cy="19111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260600</xdr:colOff>
      <xdr:row>34</xdr:row>
      <xdr:rowOff>99513</xdr:rowOff>
    </xdr:from>
    <xdr:to>
      <xdr:col>8</xdr:col>
      <xdr:colOff>260600</xdr:colOff>
      <xdr:row>35</xdr:row>
      <xdr:rowOff>99513</xdr:rowOff>
    </xdr:to>
    <xdr:cxnSp macro="">
      <xdr:nvCxnSpPr>
        <xdr:cNvPr id="74" name="Conector recto 73">
          <a:extLst>
            <a:ext uri="{FF2B5EF4-FFF2-40B4-BE49-F238E27FC236}">
              <a16:creationId xmlns:a16="http://schemas.microsoft.com/office/drawing/2014/main" id="{84A95AB7-4A85-4C33-A763-B439B91ECFE9}"/>
            </a:ext>
          </a:extLst>
        </xdr:cNvPr>
        <xdr:cNvCxnSpPr>
          <a:stCxn id="28" idx="6"/>
          <a:endCxn id="102" idx="6"/>
        </xdr:cNvCxnSpPr>
      </xdr:nvCxnSpPr>
      <xdr:spPr>
        <a:xfrm flipH="1" flipV="1">
          <a:off x="4939280" y="5433513"/>
          <a:ext cx="960120" cy="190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240983</xdr:colOff>
      <xdr:row>35</xdr:row>
      <xdr:rowOff>99513</xdr:rowOff>
    </xdr:from>
    <xdr:to>
      <xdr:col>8</xdr:col>
      <xdr:colOff>260600</xdr:colOff>
      <xdr:row>36</xdr:row>
      <xdr:rowOff>60960</xdr:rowOff>
    </xdr:to>
    <xdr:cxnSp macro="">
      <xdr:nvCxnSpPr>
        <xdr:cNvPr id="75" name="Conector recto 74">
          <a:extLst>
            <a:ext uri="{FF2B5EF4-FFF2-40B4-BE49-F238E27FC236}">
              <a16:creationId xmlns:a16="http://schemas.microsoft.com/office/drawing/2014/main" id="{A4129C5F-F37B-4284-9618-D3403421A48A}"/>
            </a:ext>
          </a:extLst>
        </xdr:cNvPr>
        <xdr:cNvCxnSpPr>
          <a:stCxn id="29" idx="0"/>
          <a:endCxn id="28" idx="6"/>
        </xdr:cNvCxnSpPr>
      </xdr:nvCxnSpPr>
      <xdr:spPr>
        <a:xfrm flipV="1">
          <a:off x="4919663" y="5624013"/>
          <a:ext cx="979737" cy="15194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36</xdr:row>
      <xdr:rowOff>83503</xdr:rowOff>
    </xdr:from>
    <xdr:to>
      <xdr:col>9</xdr:col>
      <xdr:colOff>253997</xdr:colOff>
      <xdr:row>37</xdr:row>
      <xdr:rowOff>75876</xdr:rowOff>
    </xdr:to>
    <xdr:cxnSp macro="">
      <xdr:nvCxnSpPr>
        <xdr:cNvPr id="76" name="Conector recto 75">
          <a:extLst>
            <a:ext uri="{FF2B5EF4-FFF2-40B4-BE49-F238E27FC236}">
              <a16:creationId xmlns:a16="http://schemas.microsoft.com/office/drawing/2014/main" id="{7B987EC0-B2BF-429D-B3D8-200F21316EE0}"/>
            </a:ext>
          </a:extLst>
        </xdr:cNvPr>
        <xdr:cNvCxnSpPr>
          <a:stCxn id="38" idx="7"/>
          <a:endCxn id="29" idx="6"/>
        </xdr:cNvCxnSpPr>
      </xdr:nvCxnSpPr>
      <xdr:spPr>
        <a:xfrm flipH="1" flipV="1">
          <a:off x="4942205" y="5798503"/>
          <a:ext cx="1430652" cy="182873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37</xdr:row>
      <xdr:rowOff>91816</xdr:rowOff>
    </xdr:from>
    <xdr:to>
      <xdr:col>9</xdr:col>
      <xdr:colOff>260600</xdr:colOff>
      <xdr:row>38</xdr:row>
      <xdr:rowOff>99442</xdr:rowOff>
    </xdr:to>
    <xdr:cxnSp macro="">
      <xdr:nvCxnSpPr>
        <xdr:cNvPr id="77" name="Conector recto 76">
          <a:extLst>
            <a:ext uri="{FF2B5EF4-FFF2-40B4-BE49-F238E27FC236}">
              <a16:creationId xmlns:a16="http://schemas.microsoft.com/office/drawing/2014/main" id="{F719B62B-8FE9-480D-A254-B9842EE31C72}"/>
            </a:ext>
          </a:extLst>
        </xdr:cNvPr>
        <xdr:cNvCxnSpPr>
          <a:stCxn id="30" idx="5"/>
          <a:endCxn id="38" idx="6"/>
        </xdr:cNvCxnSpPr>
      </xdr:nvCxnSpPr>
      <xdr:spPr>
        <a:xfrm flipV="1">
          <a:off x="4935602" y="5997316"/>
          <a:ext cx="1443858" cy="19812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38</xdr:row>
      <xdr:rowOff>106045</xdr:rowOff>
    </xdr:from>
    <xdr:to>
      <xdr:col>6</xdr:col>
      <xdr:colOff>240983</xdr:colOff>
      <xdr:row>39</xdr:row>
      <xdr:rowOff>83503</xdr:rowOff>
    </xdr:to>
    <xdr:cxnSp macro="">
      <xdr:nvCxnSpPr>
        <xdr:cNvPr id="78" name="Conector recto 77">
          <a:extLst>
            <a:ext uri="{FF2B5EF4-FFF2-40B4-BE49-F238E27FC236}">
              <a16:creationId xmlns:a16="http://schemas.microsoft.com/office/drawing/2014/main" id="{76BE005A-022A-4867-8799-91ED4249EF7A}"/>
            </a:ext>
          </a:extLst>
        </xdr:cNvPr>
        <xdr:cNvCxnSpPr>
          <a:stCxn id="31" idx="6"/>
          <a:endCxn id="30" idx="4"/>
        </xdr:cNvCxnSpPr>
      </xdr:nvCxnSpPr>
      <xdr:spPr>
        <a:xfrm flipV="1">
          <a:off x="4462145" y="6202045"/>
          <a:ext cx="457518" cy="16795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39</xdr:row>
      <xdr:rowOff>99442</xdr:rowOff>
    </xdr:from>
    <xdr:to>
      <xdr:col>6</xdr:col>
      <xdr:colOff>263525</xdr:colOff>
      <xdr:row>40</xdr:row>
      <xdr:rowOff>83503</xdr:rowOff>
    </xdr:to>
    <xdr:cxnSp macro="">
      <xdr:nvCxnSpPr>
        <xdr:cNvPr id="79" name="Conector recto 78">
          <a:extLst>
            <a:ext uri="{FF2B5EF4-FFF2-40B4-BE49-F238E27FC236}">
              <a16:creationId xmlns:a16="http://schemas.microsoft.com/office/drawing/2014/main" id="{EE5A106D-D47C-48F5-80F4-84967327F035}"/>
            </a:ext>
          </a:extLst>
        </xdr:cNvPr>
        <xdr:cNvCxnSpPr>
          <a:stCxn id="32" idx="6"/>
          <a:endCxn id="31" idx="5"/>
        </xdr:cNvCxnSpPr>
      </xdr:nvCxnSpPr>
      <xdr:spPr>
        <a:xfrm flipH="1" flipV="1">
          <a:off x="4455542" y="6385942"/>
          <a:ext cx="486663" cy="17456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40</xdr:row>
      <xdr:rowOff>99442</xdr:rowOff>
    </xdr:from>
    <xdr:to>
      <xdr:col>6</xdr:col>
      <xdr:colOff>225043</xdr:colOff>
      <xdr:row>41</xdr:row>
      <xdr:rowOff>67563</xdr:rowOff>
    </xdr:to>
    <xdr:cxnSp macro="">
      <xdr:nvCxnSpPr>
        <xdr:cNvPr id="80" name="Conector recto 79">
          <a:extLst>
            <a:ext uri="{FF2B5EF4-FFF2-40B4-BE49-F238E27FC236}">
              <a16:creationId xmlns:a16="http://schemas.microsoft.com/office/drawing/2014/main" id="{6F16B86B-B147-424B-8E36-F13ADF1A64A1}"/>
            </a:ext>
          </a:extLst>
        </xdr:cNvPr>
        <xdr:cNvCxnSpPr>
          <a:stCxn id="33" idx="1"/>
          <a:endCxn id="32" idx="3"/>
        </xdr:cNvCxnSpPr>
      </xdr:nvCxnSpPr>
      <xdr:spPr>
        <a:xfrm flipV="1">
          <a:off x="4423663" y="6576442"/>
          <a:ext cx="48006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41</xdr:row>
      <xdr:rowOff>83503</xdr:rowOff>
    </xdr:from>
    <xdr:to>
      <xdr:col>7</xdr:col>
      <xdr:colOff>252903</xdr:colOff>
      <xdr:row>42</xdr:row>
      <xdr:rowOff>84119</xdr:rowOff>
    </xdr:to>
    <xdr:cxnSp macro="">
      <xdr:nvCxnSpPr>
        <xdr:cNvPr id="81" name="Conector recto 80">
          <a:extLst>
            <a:ext uri="{FF2B5EF4-FFF2-40B4-BE49-F238E27FC236}">
              <a16:creationId xmlns:a16="http://schemas.microsoft.com/office/drawing/2014/main" id="{F70B23AC-5C12-4311-B0CA-B43226C5B15F}"/>
            </a:ext>
          </a:extLst>
        </xdr:cNvPr>
        <xdr:cNvCxnSpPr>
          <a:stCxn id="34" idx="6"/>
          <a:endCxn id="33" idx="6"/>
        </xdr:cNvCxnSpPr>
      </xdr:nvCxnSpPr>
      <xdr:spPr>
        <a:xfrm flipH="1" flipV="1">
          <a:off x="4462145" y="6751003"/>
          <a:ext cx="949498" cy="19111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42</xdr:row>
      <xdr:rowOff>100058</xdr:rowOff>
    </xdr:from>
    <xdr:to>
      <xdr:col>7</xdr:col>
      <xdr:colOff>246300</xdr:colOff>
      <xdr:row>43</xdr:row>
      <xdr:rowOff>67563</xdr:rowOff>
    </xdr:to>
    <xdr:cxnSp macro="">
      <xdr:nvCxnSpPr>
        <xdr:cNvPr id="82" name="Conector recto 81">
          <a:extLst>
            <a:ext uri="{FF2B5EF4-FFF2-40B4-BE49-F238E27FC236}">
              <a16:creationId xmlns:a16="http://schemas.microsoft.com/office/drawing/2014/main" id="{E5B59A2F-631D-483E-AAFD-ADEFF54D2E9B}"/>
            </a:ext>
          </a:extLst>
        </xdr:cNvPr>
        <xdr:cNvCxnSpPr>
          <a:stCxn id="35" idx="7"/>
          <a:endCxn id="34" idx="5"/>
        </xdr:cNvCxnSpPr>
      </xdr:nvCxnSpPr>
      <xdr:spPr>
        <a:xfrm flipV="1">
          <a:off x="4935602" y="6958058"/>
          <a:ext cx="469438" cy="15800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43</xdr:row>
      <xdr:rowOff>106045</xdr:rowOff>
    </xdr:from>
    <xdr:to>
      <xdr:col>6</xdr:col>
      <xdr:colOff>240983</xdr:colOff>
      <xdr:row>44</xdr:row>
      <xdr:rowOff>60960</xdr:rowOff>
    </xdr:to>
    <xdr:cxnSp macro="">
      <xdr:nvCxnSpPr>
        <xdr:cNvPr id="83" name="Conector recto 82">
          <a:extLst>
            <a:ext uri="{FF2B5EF4-FFF2-40B4-BE49-F238E27FC236}">
              <a16:creationId xmlns:a16="http://schemas.microsoft.com/office/drawing/2014/main" id="{3ECE25C4-1F21-4D16-BDD3-F80A0F4A9740}"/>
            </a:ext>
          </a:extLst>
        </xdr:cNvPr>
        <xdr:cNvCxnSpPr>
          <a:stCxn id="36" idx="0"/>
          <a:endCxn id="35" idx="3"/>
        </xdr:cNvCxnSpPr>
      </xdr:nvCxnSpPr>
      <xdr:spPr>
        <a:xfrm flipV="1">
          <a:off x="4439603" y="7154545"/>
          <a:ext cx="480060" cy="14541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44</xdr:row>
      <xdr:rowOff>106045</xdr:rowOff>
    </xdr:from>
    <xdr:to>
      <xdr:col>8</xdr:col>
      <xdr:colOff>260600</xdr:colOff>
      <xdr:row>45</xdr:row>
      <xdr:rowOff>99513</xdr:rowOff>
    </xdr:to>
    <xdr:cxnSp macro="">
      <xdr:nvCxnSpPr>
        <xdr:cNvPr id="84" name="Conector recto 83">
          <a:extLst>
            <a:ext uri="{FF2B5EF4-FFF2-40B4-BE49-F238E27FC236}">
              <a16:creationId xmlns:a16="http://schemas.microsoft.com/office/drawing/2014/main" id="{3B17FB67-9543-4670-BCF5-F7E314884BA1}"/>
            </a:ext>
          </a:extLst>
        </xdr:cNvPr>
        <xdr:cNvCxnSpPr>
          <a:stCxn id="50" idx="6"/>
          <a:endCxn id="36" idx="4"/>
        </xdr:cNvCxnSpPr>
      </xdr:nvCxnSpPr>
      <xdr:spPr>
        <a:xfrm flipH="1" flipV="1">
          <a:off x="4439603" y="7345045"/>
          <a:ext cx="1459797" cy="18396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225043</xdr:colOff>
      <xdr:row>45</xdr:row>
      <xdr:rowOff>99513</xdr:rowOff>
    </xdr:from>
    <xdr:to>
      <xdr:col>8</xdr:col>
      <xdr:colOff>260600</xdr:colOff>
      <xdr:row>46</xdr:row>
      <xdr:rowOff>67563</xdr:rowOff>
    </xdr:to>
    <xdr:cxnSp macro="">
      <xdr:nvCxnSpPr>
        <xdr:cNvPr id="85" name="Conector recto 84">
          <a:extLst>
            <a:ext uri="{FF2B5EF4-FFF2-40B4-BE49-F238E27FC236}">
              <a16:creationId xmlns:a16="http://schemas.microsoft.com/office/drawing/2014/main" id="{11EAAE87-A67A-427F-9F96-FEE7B9BD47C3}"/>
            </a:ext>
          </a:extLst>
        </xdr:cNvPr>
        <xdr:cNvCxnSpPr>
          <a:stCxn id="37" idx="1"/>
          <a:endCxn id="50" idx="6"/>
        </xdr:cNvCxnSpPr>
      </xdr:nvCxnSpPr>
      <xdr:spPr>
        <a:xfrm flipV="1">
          <a:off x="4903723" y="7529013"/>
          <a:ext cx="995677" cy="1585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46</xdr:row>
      <xdr:rowOff>99442</xdr:rowOff>
    </xdr:from>
    <xdr:to>
      <xdr:col>9</xdr:col>
      <xdr:colOff>222118</xdr:colOff>
      <xdr:row>47</xdr:row>
      <xdr:rowOff>75876</xdr:rowOff>
    </xdr:to>
    <xdr:cxnSp macro="">
      <xdr:nvCxnSpPr>
        <xdr:cNvPr id="86" name="Conector recto 85">
          <a:extLst>
            <a:ext uri="{FF2B5EF4-FFF2-40B4-BE49-F238E27FC236}">
              <a16:creationId xmlns:a16="http://schemas.microsoft.com/office/drawing/2014/main" id="{AC7D5FEC-3561-4B4C-9672-F7E4F36B991C}"/>
            </a:ext>
          </a:extLst>
        </xdr:cNvPr>
        <xdr:cNvCxnSpPr>
          <a:cxnSpLocks/>
          <a:stCxn id="37" idx="5"/>
          <a:endCxn id="40" idx="1"/>
        </xdr:cNvCxnSpPr>
      </xdr:nvCxnSpPr>
      <xdr:spPr>
        <a:xfrm>
          <a:off x="4935602" y="7719442"/>
          <a:ext cx="1405376" cy="166934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58</xdr:row>
      <xdr:rowOff>99513</xdr:rowOff>
    </xdr:from>
    <xdr:to>
      <xdr:col>8</xdr:col>
      <xdr:colOff>260600</xdr:colOff>
      <xdr:row>59</xdr:row>
      <xdr:rowOff>83503</xdr:rowOff>
    </xdr:to>
    <xdr:cxnSp macro="">
      <xdr:nvCxnSpPr>
        <xdr:cNvPr id="87" name="Conector recto 86">
          <a:extLst>
            <a:ext uri="{FF2B5EF4-FFF2-40B4-BE49-F238E27FC236}">
              <a16:creationId xmlns:a16="http://schemas.microsoft.com/office/drawing/2014/main" id="{E484E81C-8783-4707-AC8B-7BF668C4E4CF}"/>
            </a:ext>
          </a:extLst>
        </xdr:cNvPr>
        <xdr:cNvCxnSpPr>
          <a:stCxn id="49" idx="6"/>
          <a:endCxn id="53" idx="6"/>
        </xdr:cNvCxnSpPr>
      </xdr:nvCxnSpPr>
      <xdr:spPr>
        <a:xfrm flipV="1">
          <a:off x="4942205" y="10005513"/>
          <a:ext cx="957195" cy="17449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57</xdr:row>
      <xdr:rowOff>67563</xdr:rowOff>
    </xdr:from>
    <xdr:to>
      <xdr:col>8</xdr:col>
      <xdr:colOff>260600</xdr:colOff>
      <xdr:row>58</xdr:row>
      <xdr:rowOff>99513</xdr:rowOff>
    </xdr:to>
    <xdr:cxnSp macro="">
      <xdr:nvCxnSpPr>
        <xdr:cNvPr id="88" name="Conector recto 87">
          <a:extLst>
            <a:ext uri="{FF2B5EF4-FFF2-40B4-BE49-F238E27FC236}">
              <a16:creationId xmlns:a16="http://schemas.microsoft.com/office/drawing/2014/main" id="{47CFFDDD-AC31-455C-B8DF-0141A78917A3}"/>
            </a:ext>
          </a:extLst>
        </xdr:cNvPr>
        <xdr:cNvCxnSpPr>
          <a:stCxn id="48" idx="1"/>
          <a:endCxn id="53" idx="6"/>
        </xdr:cNvCxnSpPr>
      </xdr:nvCxnSpPr>
      <xdr:spPr>
        <a:xfrm>
          <a:off x="4423663" y="9783063"/>
          <a:ext cx="1475737" cy="2224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56</xdr:row>
      <xdr:rowOff>83503</xdr:rowOff>
    </xdr:from>
    <xdr:to>
      <xdr:col>6</xdr:col>
      <xdr:colOff>218440</xdr:colOff>
      <xdr:row>57</xdr:row>
      <xdr:rowOff>60960</xdr:rowOff>
    </xdr:to>
    <xdr:cxnSp macro="">
      <xdr:nvCxnSpPr>
        <xdr:cNvPr id="89" name="Conector recto 88">
          <a:extLst>
            <a:ext uri="{FF2B5EF4-FFF2-40B4-BE49-F238E27FC236}">
              <a16:creationId xmlns:a16="http://schemas.microsoft.com/office/drawing/2014/main" id="{8A0E9833-8B15-4C11-89DC-316A94047388}"/>
            </a:ext>
          </a:extLst>
        </xdr:cNvPr>
        <xdr:cNvCxnSpPr>
          <a:stCxn id="47" idx="2"/>
          <a:endCxn id="48" idx="0"/>
        </xdr:cNvCxnSpPr>
      </xdr:nvCxnSpPr>
      <xdr:spPr>
        <a:xfrm flipH="1">
          <a:off x="4439603" y="9608503"/>
          <a:ext cx="457517" cy="16795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54</xdr:row>
      <xdr:rowOff>67563</xdr:rowOff>
    </xdr:from>
    <xdr:to>
      <xdr:col>8</xdr:col>
      <xdr:colOff>253997</xdr:colOff>
      <xdr:row>55</xdr:row>
      <xdr:rowOff>115452</xdr:rowOff>
    </xdr:to>
    <xdr:cxnSp macro="">
      <xdr:nvCxnSpPr>
        <xdr:cNvPr id="90" name="Conector recto 89">
          <a:extLst>
            <a:ext uri="{FF2B5EF4-FFF2-40B4-BE49-F238E27FC236}">
              <a16:creationId xmlns:a16="http://schemas.microsoft.com/office/drawing/2014/main" id="{70ACEDB9-AC5A-4BF7-8788-CB81533275D4}"/>
            </a:ext>
          </a:extLst>
        </xdr:cNvPr>
        <xdr:cNvCxnSpPr>
          <a:stCxn id="46" idx="7"/>
          <a:endCxn id="52" idx="6"/>
        </xdr:cNvCxnSpPr>
      </xdr:nvCxnSpPr>
      <xdr:spPr>
        <a:xfrm>
          <a:off x="4455542" y="9211563"/>
          <a:ext cx="1437255" cy="23838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218440</xdr:colOff>
      <xdr:row>55</xdr:row>
      <xdr:rowOff>122055</xdr:rowOff>
    </xdr:from>
    <xdr:to>
      <xdr:col>8</xdr:col>
      <xdr:colOff>238058</xdr:colOff>
      <xdr:row>56</xdr:row>
      <xdr:rowOff>83503</xdr:rowOff>
    </xdr:to>
    <xdr:cxnSp macro="">
      <xdr:nvCxnSpPr>
        <xdr:cNvPr id="91" name="Conector recto 90">
          <a:extLst>
            <a:ext uri="{FF2B5EF4-FFF2-40B4-BE49-F238E27FC236}">
              <a16:creationId xmlns:a16="http://schemas.microsoft.com/office/drawing/2014/main" id="{9EF30FA5-B404-4D54-A9BD-2B2967019A13}"/>
            </a:ext>
          </a:extLst>
        </xdr:cNvPr>
        <xdr:cNvCxnSpPr>
          <a:stCxn id="47" idx="2"/>
          <a:endCxn id="52" idx="5"/>
        </xdr:cNvCxnSpPr>
      </xdr:nvCxnSpPr>
      <xdr:spPr>
        <a:xfrm flipV="1">
          <a:off x="4897120" y="9456555"/>
          <a:ext cx="979738" cy="15194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53</xdr:row>
      <xdr:rowOff>83503</xdr:rowOff>
    </xdr:from>
    <xdr:to>
      <xdr:col>6</xdr:col>
      <xdr:colOff>218440</xdr:colOff>
      <xdr:row>54</xdr:row>
      <xdr:rowOff>60960</xdr:rowOff>
    </xdr:to>
    <xdr:cxnSp macro="">
      <xdr:nvCxnSpPr>
        <xdr:cNvPr id="92" name="Conector recto 91">
          <a:extLst>
            <a:ext uri="{FF2B5EF4-FFF2-40B4-BE49-F238E27FC236}">
              <a16:creationId xmlns:a16="http://schemas.microsoft.com/office/drawing/2014/main" id="{29C28E6A-8168-4949-BF33-7C9780FC2D07}"/>
            </a:ext>
          </a:extLst>
        </xdr:cNvPr>
        <xdr:cNvCxnSpPr>
          <a:stCxn id="46" idx="0"/>
          <a:endCxn id="45" idx="6"/>
        </xdr:cNvCxnSpPr>
      </xdr:nvCxnSpPr>
      <xdr:spPr>
        <a:xfrm flipV="1">
          <a:off x="4439603" y="9037003"/>
          <a:ext cx="457517" cy="16795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52</xdr:row>
      <xdr:rowOff>67563</xdr:rowOff>
    </xdr:from>
    <xdr:to>
      <xdr:col>6</xdr:col>
      <xdr:colOff>263525</xdr:colOff>
      <xdr:row>53</xdr:row>
      <xdr:rowOff>83503</xdr:rowOff>
    </xdr:to>
    <xdr:cxnSp macro="">
      <xdr:nvCxnSpPr>
        <xdr:cNvPr id="93" name="Conector recto 92">
          <a:extLst>
            <a:ext uri="{FF2B5EF4-FFF2-40B4-BE49-F238E27FC236}">
              <a16:creationId xmlns:a16="http://schemas.microsoft.com/office/drawing/2014/main" id="{0EAB5113-036A-4FF5-BE2A-2EA4FEA97451}"/>
            </a:ext>
          </a:extLst>
        </xdr:cNvPr>
        <xdr:cNvCxnSpPr>
          <a:stCxn id="44" idx="7"/>
          <a:endCxn id="45" idx="2"/>
        </xdr:cNvCxnSpPr>
      </xdr:nvCxnSpPr>
      <xdr:spPr>
        <a:xfrm>
          <a:off x="4455542" y="8830563"/>
          <a:ext cx="486663" cy="20644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51</xdr:row>
      <xdr:rowOff>83503</xdr:rowOff>
    </xdr:from>
    <xdr:to>
      <xdr:col>6</xdr:col>
      <xdr:colOff>263525</xdr:colOff>
      <xdr:row>52</xdr:row>
      <xdr:rowOff>67563</xdr:rowOff>
    </xdr:to>
    <xdr:cxnSp macro="">
      <xdr:nvCxnSpPr>
        <xdr:cNvPr id="94" name="Conector recto 93">
          <a:extLst>
            <a:ext uri="{FF2B5EF4-FFF2-40B4-BE49-F238E27FC236}">
              <a16:creationId xmlns:a16="http://schemas.microsoft.com/office/drawing/2014/main" id="{7D2C5218-4B92-4E58-AADD-ADC0BEFE23A4}"/>
            </a:ext>
          </a:extLst>
        </xdr:cNvPr>
        <xdr:cNvCxnSpPr>
          <a:stCxn id="43" idx="6"/>
          <a:endCxn id="44" idx="1"/>
        </xdr:cNvCxnSpPr>
      </xdr:nvCxnSpPr>
      <xdr:spPr>
        <a:xfrm flipH="1">
          <a:off x="4455542" y="8656003"/>
          <a:ext cx="486663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49</xdr:row>
      <xdr:rowOff>83503</xdr:rowOff>
    </xdr:from>
    <xdr:to>
      <xdr:col>6</xdr:col>
      <xdr:colOff>263525</xdr:colOff>
      <xdr:row>50</xdr:row>
      <xdr:rowOff>67563</xdr:rowOff>
    </xdr:to>
    <xdr:cxnSp macro="">
      <xdr:nvCxnSpPr>
        <xdr:cNvPr id="95" name="Conector recto 94">
          <a:extLst>
            <a:ext uri="{FF2B5EF4-FFF2-40B4-BE49-F238E27FC236}">
              <a16:creationId xmlns:a16="http://schemas.microsoft.com/office/drawing/2014/main" id="{E8E3ACCB-E2B2-4984-A4EB-BCB8A276F6D8}"/>
            </a:ext>
          </a:extLst>
        </xdr:cNvPr>
        <xdr:cNvCxnSpPr>
          <a:stCxn id="42" idx="1"/>
          <a:endCxn id="41" idx="5"/>
        </xdr:cNvCxnSpPr>
      </xdr:nvCxnSpPr>
      <xdr:spPr>
        <a:xfrm flipV="1">
          <a:off x="4423663" y="8275003"/>
          <a:ext cx="518542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50</xdr:row>
      <xdr:rowOff>83503</xdr:rowOff>
    </xdr:from>
    <xdr:to>
      <xdr:col>6</xdr:col>
      <xdr:colOff>263525</xdr:colOff>
      <xdr:row>51</xdr:row>
      <xdr:rowOff>83503</xdr:rowOff>
    </xdr:to>
    <xdr:cxnSp macro="">
      <xdr:nvCxnSpPr>
        <xdr:cNvPr id="96" name="Conector recto 95">
          <a:extLst>
            <a:ext uri="{FF2B5EF4-FFF2-40B4-BE49-F238E27FC236}">
              <a16:creationId xmlns:a16="http://schemas.microsoft.com/office/drawing/2014/main" id="{A20500DB-6D44-4647-A0AB-DF4E15A30529}"/>
            </a:ext>
          </a:extLst>
        </xdr:cNvPr>
        <xdr:cNvCxnSpPr>
          <a:stCxn id="43" idx="6"/>
          <a:endCxn id="42" idx="1"/>
        </xdr:cNvCxnSpPr>
      </xdr:nvCxnSpPr>
      <xdr:spPr>
        <a:xfrm flipH="1" flipV="1">
          <a:off x="4462145" y="8465503"/>
          <a:ext cx="480060" cy="190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222118</xdr:colOff>
      <xdr:row>47</xdr:row>
      <xdr:rowOff>114358</xdr:rowOff>
    </xdr:from>
    <xdr:to>
      <xdr:col>9</xdr:col>
      <xdr:colOff>238058</xdr:colOff>
      <xdr:row>48</xdr:row>
      <xdr:rowOff>83573</xdr:rowOff>
    </xdr:to>
    <xdr:cxnSp macro="">
      <xdr:nvCxnSpPr>
        <xdr:cNvPr id="97" name="Conector recto 96">
          <a:extLst>
            <a:ext uri="{FF2B5EF4-FFF2-40B4-BE49-F238E27FC236}">
              <a16:creationId xmlns:a16="http://schemas.microsoft.com/office/drawing/2014/main" id="{18F9896B-7619-4717-9762-916CE0A51324}"/>
            </a:ext>
          </a:extLst>
        </xdr:cNvPr>
        <xdr:cNvCxnSpPr>
          <a:stCxn id="40" idx="4"/>
          <a:endCxn id="51" idx="1"/>
        </xdr:cNvCxnSpPr>
      </xdr:nvCxnSpPr>
      <xdr:spPr>
        <a:xfrm flipH="1">
          <a:off x="5860918" y="7924858"/>
          <a:ext cx="496000" cy="15971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48</xdr:row>
      <xdr:rowOff>115452</xdr:rowOff>
    </xdr:from>
    <xdr:to>
      <xdr:col>8</xdr:col>
      <xdr:colOff>222118</xdr:colOff>
      <xdr:row>49</xdr:row>
      <xdr:rowOff>67563</xdr:rowOff>
    </xdr:to>
    <xdr:cxnSp macro="">
      <xdr:nvCxnSpPr>
        <xdr:cNvPr id="98" name="Conector recto 97">
          <a:extLst>
            <a:ext uri="{FF2B5EF4-FFF2-40B4-BE49-F238E27FC236}">
              <a16:creationId xmlns:a16="http://schemas.microsoft.com/office/drawing/2014/main" id="{43322545-F0F7-46B4-BB78-FE3C34168210}"/>
            </a:ext>
          </a:extLst>
        </xdr:cNvPr>
        <xdr:cNvCxnSpPr>
          <a:stCxn id="41" idx="7"/>
          <a:endCxn id="51" idx="3"/>
        </xdr:cNvCxnSpPr>
      </xdr:nvCxnSpPr>
      <xdr:spPr>
        <a:xfrm flipV="1">
          <a:off x="4935602" y="8116452"/>
          <a:ext cx="925316" cy="14261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263525</xdr:colOff>
      <xdr:row>20</xdr:row>
      <xdr:rowOff>107755</xdr:rowOff>
    </xdr:from>
    <xdr:to>
      <xdr:col>9</xdr:col>
      <xdr:colOff>222118</xdr:colOff>
      <xdr:row>21</xdr:row>
      <xdr:rowOff>91200</xdr:rowOff>
    </xdr:to>
    <xdr:cxnSp macro="">
      <xdr:nvCxnSpPr>
        <xdr:cNvPr id="99" name="Conector recto 98">
          <a:extLst>
            <a:ext uri="{FF2B5EF4-FFF2-40B4-BE49-F238E27FC236}">
              <a16:creationId xmlns:a16="http://schemas.microsoft.com/office/drawing/2014/main" id="{778ED063-AEF4-4586-B611-968746BCD23D}"/>
            </a:ext>
          </a:extLst>
        </xdr:cNvPr>
        <xdr:cNvCxnSpPr>
          <a:stCxn id="17" idx="6"/>
          <a:endCxn id="39" idx="3"/>
        </xdr:cNvCxnSpPr>
      </xdr:nvCxnSpPr>
      <xdr:spPr>
        <a:xfrm flipV="1">
          <a:off x="5902325" y="3155755"/>
          <a:ext cx="438653" cy="17394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215515</xdr:colOff>
      <xdr:row>31</xdr:row>
      <xdr:rowOff>76970</xdr:rowOff>
    </xdr:from>
    <xdr:to>
      <xdr:col>8</xdr:col>
      <xdr:colOff>260600</xdr:colOff>
      <xdr:row>31</xdr:row>
      <xdr:rowOff>122055</xdr:rowOff>
    </xdr:to>
    <xdr:sp macro="" textlink="">
      <xdr:nvSpPr>
        <xdr:cNvPr id="100" name="Elipse 99">
          <a:extLst>
            <a:ext uri="{FF2B5EF4-FFF2-40B4-BE49-F238E27FC236}">
              <a16:creationId xmlns:a16="http://schemas.microsoft.com/office/drawing/2014/main" id="{B7617506-0680-4B93-A1B7-80EB547F12E0}"/>
            </a:ext>
          </a:extLst>
        </xdr:cNvPr>
        <xdr:cNvSpPr/>
      </xdr:nvSpPr>
      <xdr:spPr>
        <a:xfrm>
          <a:off x="5854315" y="4839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215515</xdr:colOff>
      <xdr:row>32</xdr:row>
      <xdr:rowOff>76970</xdr:rowOff>
    </xdr:from>
    <xdr:to>
      <xdr:col>6</xdr:col>
      <xdr:colOff>260600</xdr:colOff>
      <xdr:row>32</xdr:row>
      <xdr:rowOff>122055</xdr:rowOff>
    </xdr:to>
    <xdr:sp macro="" textlink="">
      <xdr:nvSpPr>
        <xdr:cNvPr id="101" name="Elipse 100">
          <a:extLst>
            <a:ext uri="{FF2B5EF4-FFF2-40B4-BE49-F238E27FC236}">
              <a16:creationId xmlns:a16="http://schemas.microsoft.com/office/drawing/2014/main" id="{F7365F7C-04AB-493D-8943-36582C3316CB}"/>
            </a:ext>
          </a:extLst>
        </xdr:cNvPr>
        <xdr:cNvSpPr/>
      </xdr:nvSpPr>
      <xdr:spPr>
        <a:xfrm>
          <a:off x="4894195" y="5029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215515</xdr:colOff>
      <xdr:row>34</xdr:row>
      <xdr:rowOff>76970</xdr:rowOff>
    </xdr:from>
    <xdr:to>
      <xdr:col>6</xdr:col>
      <xdr:colOff>260600</xdr:colOff>
      <xdr:row>34</xdr:row>
      <xdr:rowOff>122055</xdr:rowOff>
    </xdr:to>
    <xdr:sp macro="" textlink="">
      <xdr:nvSpPr>
        <xdr:cNvPr id="102" name="Elipse 101">
          <a:extLst>
            <a:ext uri="{FF2B5EF4-FFF2-40B4-BE49-F238E27FC236}">
              <a16:creationId xmlns:a16="http://schemas.microsoft.com/office/drawing/2014/main" id="{93F5A2BA-2CDB-4031-9C6C-41F2B3A2ABA4}"/>
            </a:ext>
          </a:extLst>
        </xdr:cNvPr>
        <xdr:cNvSpPr/>
      </xdr:nvSpPr>
      <xdr:spPr>
        <a:xfrm>
          <a:off x="4894195" y="5410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215515</xdr:colOff>
      <xdr:row>33</xdr:row>
      <xdr:rowOff>76970</xdr:rowOff>
    </xdr:from>
    <xdr:to>
      <xdr:col>5</xdr:col>
      <xdr:colOff>260600</xdr:colOff>
      <xdr:row>33</xdr:row>
      <xdr:rowOff>122055</xdr:rowOff>
    </xdr:to>
    <xdr:sp macro="" textlink="">
      <xdr:nvSpPr>
        <xdr:cNvPr id="103" name="Elipse 102">
          <a:extLst>
            <a:ext uri="{FF2B5EF4-FFF2-40B4-BE49-F238E27FC236}">
              <a16:creationId xmlns:a16="http://schemas.microsoft.com/office/drawing/2014/main" id="{58166F3D-B449-4C5B-80D0-F7BF7125238F}"/>
            </a:ext>
          </a:extLst>
        </xdr:cNvPr>
        <xdr:cNvSpPr/>
      </xdr:nvSpPr>
      <xdr:spPr>
        <a:xfrm>
          <a:off x="4414135" y="5220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238058</xdr:colOff>
      <xdr:row>33</xdr:row>
      <xdr:rowOff>76970</xdr:rowOff>
    </xdr:from>
    <xdr:to>
      <xdr:col>6</xdr:col>
      <xdr:colOff>222118</xdr:colOff>
      <xdr:row>34</xdr:row>
      <xdr:rowOff>83573</xdr:rowOff>
    </xdr:to>
    <xdr:cxnSp macro="">
      <xdr:nvCxnSpPr>
        <xdr:cNvPr id="104" name="Conector recto 103">
          <a:extLst>
            <a:ext uri="{FF2B5EF4-FFF2-40B4-BE49-F238E27FC236}">
              <a16:creationId xmlns:a16="http://schemas.microsoft.com/office/drawing/2014/main" id="{57575200-5098-4A2A-B630-1C352E6127E5}"/>
            </a:ext>
          </a:extLst>
        </xdr:cNvPr>
        <xdr:cNvCxnSpPr>
          <a:stCxn id="103" idx="0"/>
          <a:endCxn id="102" idx="7"/>
        </xdr:cNvCxnSpPr>
      </xdr:nvCxnSpPr>
      <xdr:spPr>
        <a:xfrm>
          <a:off x="4436678" y="5220470"/>
          <a:ext cx="464120" cy="197103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222118</xdr:colOff>
      <xdr:row>32</xdr:row>
      <xdr:rowOff>99513</xdr:rowOff>
    </xdr:from>
    <xdr:to>
      <xdr:col>6</xdr:col>
      <xdr:colOff>260600</xdr:colOff>
      <xdr:row>33</xdr:row>
      <xdr:rowOff>83573</xdr:rowOff>
    </xdr:to>
    <xdr:cxnSp macro="">
      <xdr:nvCxnSpPr>
        <xdr:cNvPr id="105" name="Conector recto 104">
          <a:extLst>
            <a:ext uri="{FF2B5EF4-FFF2-40B4-BE49-F238E27FC236}">
              <a16:creationId xmlns:a16="http://schemas.microsoft.com/office/drawing/2014/main" id="{EC135E47-BBAC-4128-BCCC-BBD16BDEDE0F}"/>
            </a:ext>
          </a:extLst>
        </xdr:cNvPr>
        <xdr:cNvCxnSpPr>
          <a:stCxn id="101" idx="6"/>
          <a:endCxn id="103" idx="1"/>
        </xdr:cNvCxnSpPr>
      </xdr:nvCxnSpPr>
      <xdr:spPr>
        <a:xfrm flipH="1">
          <a:off x="4420738" y="5052513"/>
          <a:ext cx="518542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253997</xdr:colOff>
      <xdr:row>31</xdr:row>
      <xdr:rowOff>115452</xdr:rowOff>
    </xdr:from>
    <xdr:to>
      <xdr:col>8</xdr:col>
      <xdr:colOff>253997</xdr:colOff>
      <xdr:row>32</xdr:row>
      <xdr:rowOff>83573</xdr:rowOff>
    </xdr:to>
    <xdr:cxnSp macro="">
      <xdr:nvCxnSpPr>
        <xdr:cNvPr id="106" name="Conector recto 105">
          <a:extLst>
            <a:ext uri="{FF2B5EF4-FFF2-40B4-BE49-F238E27FC236}">
              <a16:creationId xmlns:a16="http://schemas.microsoft.com/office/drawing/2014/main" id="{853E9CE1-ED85-4FAE-A883-68CF7C9CEAA9}"/>
            </a:ext>
          </a:extLst>
        </xdr:cNvPr>
        <xdr:cNvCxnSpPr>
          <a:stCxn id="100" idx="5"/>
          <a:endCxn id="101" idx="7"/>
        </xdr:cNvCxnSpPr>
      </xdr:nvCxnSpPr>
      <xdr:spPr>
        <a:xfrm flipH="1">
          <a:off x="4932677" y="4877952"/>
          <a:ext cx="96012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246300</xdr:colOff>
      <xdr:row>30</xdr:row>
      <xdr:rowOff>100058</xdr:rowOff>
    </xdr:from>
    <xdr:to>
      <xdr:col>8</xdr:col>
      <xdr:colOff>253997</xdr:colOff>
      <xdr:row>31</xdr:row>
      <xdr:rowOff>83573</xdr:rowOff>
    </xdr:to>
    <xdr:cxnSp macro="">
      <xdr:nvCxnSpPr>
        <xdr:cNvPr id="107" name="Conector recto 106">
          <a:extLst>
            <a:ext uri="{FF2B5EF4-FFF2-40B4-BE49-F238E27FC236}">
              <a16:creationId xmlns:a16="http://schemas.microsoft.com/office/drawing/2014/main" id="{41AFBB48-CF57-49B0-81CD-C85A0665B15F}"/>
            </a:ext>
          </a:extLst>
        </xdr:cNvPr>
        <xdr:cNvCxnSpPr>
          <a:stCxn id="27" idx="5"/>
          <a:endCxn id="100" idx="7"/>
        </xdr:cNvCxnSpPr>
      </xdr:nvCxnSpPr>
      <xdr:spPr>
        <a:xfrm>
          <a:off x="5405040" y="4672058"/>
          <a:ext cx="487757" cy="17401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218440</xdr:colOff>
      <xdr:row>11</xdr:row>
      <xdr:rowOff>60960</xdr:rowOff>
    </xdr:from>
    <xdr:to>
      <xdr:col>6</xdr:col>
      <xdr:colOff>263525</xdr:colOff>
      <xdr:row>11</xdr:row>
      <xdr:rowOff>106045</xdr:rowOff>
    </xdr:to>
    <xdr:sp macro="" textlink="">
      <xdr:nvSpPr>
        <xdr:cNvPr id="108" name="Elipse 107">
          <a:extLst>
            <a:ext uri="{FF2B5EF4-FFF2-40B4-BE49-F238E27FC236}">
              <a16:creationId xmlns:a16="http://schemas.microsoft.com/office/drawing/2014/main" id="{FDCEDD6E-D2E9-428A-BA06-EAAD99D01BD1}"/>
            </a:ext>
          </a:extLst>
        </xdr:cNvPr>
        <xdr:cNvSpPr/>
      </xdr:nvSpPr>
      <xdr:spPr>
        <a:xfrm>
          <a:off x="4908973" y="18135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263525</xdr:colOff>
      <xdr:row>10</xdr:row>
      <xdr:rowOff>83503</xdr:rowOff>
    </xdr:from>
    <xdr:to>
      <xdr:col>6</xdr:col>
      <xdr:colOff>256922</xdr:colOff>
      <xdr:row>11</xdr:row>
      <xdr:rowOff>67563</xdr:rowOff>
    </xdr:to>
    <xdr:cxnSp macro="">
      <xdr:nvCxnSpPr>
        <xdr:cNvPr id="109" name="Conector recto 108">
          <a:extLst>
            <a:ext uri="{FF2B5EF4-FFF2-40B4-BE49-F238E27FC236}">
              <a16:creationId xmlns:a16="http://schemas.microsoft.com/office/drawing/2014/main" id="{9F37E70C-29C0-4177-89FD-E0DC7AFF699F}"/>
            </a:ext>
          </a:extLst>
        </xdr:cNvPr>
        <xdr:cNvCxnSpPr>
          <a:stCxn id="108" idx="7"/>
        </xdr:cNvCxnSpPr>
      </xdr:nvCxnSpPr>
      <xdr:spPr>
        <a:xfrm flipH="1" flipV="1">
          <a:off x="4471458" y="1641370"/>
          <a:ext cx="475997" cy="178793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11</xdr:row>
      <xdr:rowOff>99442</xdr:rowOff>
    </xdr:from>
    <xdr:to>
      <xdr:col>6</xdr:col>
      <xdr:colOff>256922</xdr:colOff>
      <xdr:row>12</xdr:row>
      <xdr:rowOff>67563</xdr:rowOff>
    </xdr:to>
    <xdr:cxnSp macro="">
      <xdr:nvCxnSpPr>
        <xdr:cNvPr id="110" name="Conector recto 109">
          <a:extLst>
            <a:ext uri="{FF2B5EF4-FFF2-40B4-BE49-F238E27FC236}">
              <a16:creationId xmlns:a16="http://schemas.microsoft.com/office/drawing/2014/main" id="{88A3F5DB-A5EA-480F-A0AE-3CEA04C75454}"/>
            </a:ext>
          </a:extLst>
        </xdr:cNvPr>
        <xdr:cNvCxnSpPr>
          <a:endCxn id="108" idx="5"/>
        </xdr:cNvCxnSpPr>
      </xdr:nvCxnSpPr>
      <xdr:spPr>
        <a:xfrm flipV="1">
          <a:off x="4464855" y="1852042"/>
          <a:ext cx="482600" cy="162854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218440</xdr:colOff>
      <xdr:row>12</xdr:row>
      <xdr:rowOff>60960</xdr:rowOff>
    </xdr:from>
    <xdr:to>
      <xdr:col>5</xdr:col>
      <xdr:colOff>263525</xdr:colOff>
      <xdr:row>12</xdr:row>
      <xdr:rowOff>106045</xdr:rowOff>
    </xdr:to>
    <xdr:sp macro="" textlink="">
      <xdr:nvSpPr>
        <xdr:cNvPr id="111" name="Elipse 110">
          <a:extLst>
            <a:ext uri="{FF2B5EF4-FFF2-40B4-BE49-F238E27FC236}">
              <a16:creationId xmlns:a16="http://schemas.microsoft.com/office/drawing/2014/main" id="{9DD5CDF2-1155-4132-9542-4C61A5703E9E}"/>
            </a:ext>
          </a:extLst>
        </xdr:cNvPr>
        <xdr:cNvSpPr/>
      </xdr:nvSpPr>
      <xdr:spPr>
        <a:xfrm>
          <a:off x="4426373" y="200829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256922</xdr:colOff>
      <xdr:row>11</xdr:row>
      <xdr:rowOff>99442</xdr:rowOff>
    </xdr:from>
    <xdr:to>
      <xdr:col>6</xdr:col>
      <xdr:colOff>256922</xdr:colOff>
      <xdr:row>12</xdr:row>
      <xdr:rowOff>67563</xdr:rowOff>
    </xdr:to>
    <xdr:cxnSp macro="">
      <xdr:nvCxnSpPr>
        <xdr:cNvPr id="112" name="Conector recto 111">
          <a:extLst>
            <a:ext uri="{FF2B5EF4-FFF2-40B4-BE49-F238E27FC236}">
              <a16:creationId xmlns:a16="http://schemas.microsoft.com/office/drawing/2014/main" id="{A7152319-FCA6-4385-ACA6-2B1E96924AF8}"/>
            </a:ext>
          </a:extLst>
        </xdr:cNvPr>
        <xdr:cNvCxnSpPr>
          <a:stCxn id="111" idx="7"/>
        </xdr:cNvCxnSpPr>
      </xdr:nvCxnSpPr>
      <xdr:spPr>
        <a:xfrm flipV="1">
          <a:off x="4464855" y="1852042"/>
          <a:ext cx="482600" cy="162854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12</xdr:row>
      <xdr:rowOff>83503</xdr:rowOff>
    </xdr:from>
    <xdr:to>
      <xdr:col>7</xdr:col>
      <xdr:colOff>256922</xdr:colOff>
      <xdr:row>13</xdr:row>
      <xdr:rowOff>67563</xdr:rowOff>
    </xdr:to>
    <xdr:cxnSp macro="">
      <xdr:nvCxnSpPr>
        <xdr:cNvPr id="113" name="Conector recto 112">
          <a:extLst>
            <a:ext uri="{FF2B5EF4-FFF2-40B4-BE49-F238E27FC236}">
              <a16:creationId xmlns:a16="http://schemas.microsoft.com/office/drawing/2014/main" id="{AA211F76-F51B-4A54-8E29-359023A49662}"/>
            </a:ext>
          </a:extLst>
        </xdr:cNvPr>
        <xdr:cNvCxnSpPr>
          <a:stCxn id="114" idx="7"/>
        </xdr:cNvCxnSpPr>
      </xdr:nvCxnSpPr>
      <xdr:spPr>
        <a:xfrm flipH="1" flipV="1">
          <a:off x="4471458" y="2420303"/>
          <a:ext cx="958597" cy="178793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218440</xdr:colOff>
      <xdr:row>13</xdr:row>
      <xdr:rowOff>60960</xdr:rowOff>
    </xdr:from>
    <xdr:to>
      <xdr:col>7</xdr:col>
      <xdr:colOff>263525</xdr:colOff>
      <xdr:row>13</xdr:row>
      <xdr:rowOff>106045</xdr:rowOff>
    </xdr:to>
    <xdr:sp macro="" textlink="">
      <xdr:nvSpPr>
        <xdr:cNvPr id="114" name="Elipse 113">
          <a:extLst>
            <a:ext uri="{FF2B5EF4-FFF2-40B4-BE49-F238E27FC236}">
              <a16:creationId xmlns:a16="http://schemas.microsoft.com/office/drawing/2014/main" id="{07AC9038-B3FE-4F05-9776-BCDFA9945B11}"/>
            </a:ext>
          </a:extLst>
        </xdr:cNvPr>
        <xdr:cNvSpPr/>
      </xdr:nvSpPr>
      <xdr:spPr>
        <a:xfrm>
          <a:off x="4426373" y="200829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26</xdr:row>
      <xdr:rowOff>60960</xdr:rowOff>
    </xdr:from>
    <xdr:to>
      <xdr:col>6</xdr:col>
      <xdr:colOff>263525</xdr:colOff>
      <xdr:row>26</xdr:row>
      <xdr:rowOff>106045</xdr:rowOff>
    </xdr:to>
    <xdr:sp macro="" textlink="">
      <xdr:nvSpPr>
        <xdr:cNvPr id="119" name="Elipse 118">
          <a:extLst>
            <a:ext uri="{FF2B5EF4-FFF2-40B4-BE49-F238E27FC236}">
              <a16:creationId xmlns:a16="http://schemas.microsoft.com/office/drawing/2014/main" id="{6D8B2254-382D-44E3-AF77-842938429C12}"/>
            </a:ext>
          </a:extLst>
        </xdr:cNvPr>
        <xdr:cNvSpPr/>
      </xdr:nvSpPr>
      <xdr:spPr>
        <a:xfrm>
          <a:off x="4908973" y="53187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225043</xdr:colOff>
      <xdr:row>26</xdr:row>
      <xdr:rowOff>99442</xdr:rowOff>
    </xdr:from>
    <xdr:to>
      <xdr:col>6</xdr:col>
      <xdr:colOff>225043</xdr:colOff>
      <xdr:row>27</xdr:row>
      <xdr:rowOff>99442</xdr:rowOff>
    </xdr:to>
    <xdr:cxnSp macro="">
      <xdr:nvCxnSpPr>
        <xdr:cNvPr id="120" name="Conector recto 119">
          <a:extLst>
            <a:ext uri="{FF2B5EF4-FFF2-40B4-BE49-F238E27FC236}">
              <a16:creationId xmlns:a16="http://schemas.microsoft.com/office/drawing/2014/main" id="{3DB4CB3B-0EF1-471A-8299-DE7545F9B9E7}"/>
            </a:ext>
          </a:extLst>
        </xdr:cNvPr>
        <xdr:cNvCxnSpPr>
          <a:endCxn id="119" idx="3"/>
        </xdr:cNvCxnSpPr>
      </xdr:nvCxnSpPr>
      <xdr:spPr>
        <a:xfrm flipV="1">
          <a:off x="4432976" y="5357242"/>
          <a:ext cx="482600" cy="194733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218440</xdr:colOff>
      <xdr:row>27</xdr:row>
      <xdr:rowOff>60960</xdr:rowOff>
    </xdr:from>
    <xdr:to>
      <xdr:col>5</xdr:col>
      <xdr:colOff>263525</xdr:colOff>
      <xdr:row>27</xdr:row>
      <xdr:rowOff>106045</xdr:rowOff>
    </xdr:to>
    <xdr:sp macro="" textlink="">
      <xdr:nvSpPr>
        <xdr:cNvPr id="121" name="Elipse 120">
          <a:extLst>
            <a:ext uri="{FF2B5EF4-FFF2-40B4-BE49-F238E27FC236}">
              <a16:creationId xmlns:a16="http://schemas.microsoft.com/office/drawing/2014/main" id="{72419F25-8B45-4BB5-8E23-900A7E68A2F8}"/>
            </a:ext>
          </a:extLst>
        </xdr:cNvPr>
        <xdr:cNvSpPr/>
      </xdr:nvSpPr>
      <xdr:spPr>
        <a:xfrm>
          <a:off x="4908973" y="53187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256922</xdr:colOff>
      <xdr:row>25</xdr:row>
      <xdr:rowOff>99442</xdr:rowOff>
    </xdr:from>
    <xdr:to>
      <xdr:col>6</xdr:col>
      <xdr:colOff>256922</xdr:colOff>
      <xdr:row>26</xdr:row>
      <xdr:rowOff>67563</xdr:rowOff>
    </xdr:to>
    <xdr:cxnSp macro="">
      <xdr:nvCxnSpPr>
        <xdr:cNvPr id="124" name="Conector recto 123">
          <a:extLst>
            <a:ext uri="{FF2B5EF4-FFF2-40B4-BE49-F238E27FC236}">
              <a16:creationId xmlns:a16="http://schemas.microsoft.com/office/drawing/2014/main" id="{56EF82B2-4DB4-4484-A5C3-06A07069B25C}"/>
            </a:ext>
          </a:extLst>
        </xdr:cNvPr>
        <xdr:cNvCxnSpPr>
          <a:stCxn id="21" idx="5"/>
          <a:endCxn id="119" idx="7"/>
        </xdr:cNvCxnSpPr>
      </xdr:nvCxnSpPr>
      <xdr:spPr>
        <a:xfrm>
          <a:off x="4464855" y="4773042"/>
          <a:ext cx="482600" cy="162854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215515</xdr:colOff>
      <xdr:row>14</xdr:row>
      <xdr:rowOff>76970</xdr:rowOff>
    </xdr:from>
    <xdr:to>
      <xdr:col>8</xdr:col>
      <xdr:colOff>260600</xdr:colOff>
      <xdr:row>14</xdr:row>
      <xdr:rowOff>122055</xdr:rowOff>
    </xdr:to>
    <xdr:sp macro="" textlink="">
      <xdr:nvSpPr>
        <xdr:cNvPr id="116" name="Elipse 115">
          <a:extLst>
            <a:ext uri="{FF2B5EF4-FFF2-40B4-BE49-F238E27FC236}">
              <a16:creationId xmlns:a16="http://schemas.microsoft.com/office/drawing/2014/main" id="{399FA51C-F1DB-43CE-8483-0991F008EB27}"/>
            </a:ext>
          </a:extLst>
        </xdr:cNvPr>
        <xdr:cNvSpPr/>
      </xdr:nvSpPr>
      <xdr:spPr>
        <a:xfrm>
          <a:off x="5841910" y="3585714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256922</xdr:colOff>
      <xdr:row>13</xdr:row>
      <xdr:rowOff>99442</xdr:rowOff>
    </xdr:from>
    <xdr:to>
      <xdr:col>8</xdr:col>
      <xdr:colOff>253997</xdr:colOff>
      <xdr:row>14</xdr:row>
      <xdr:rowOff>83573</xdr:rowOff>
    </xdr:to>
    <xdr:cxnSp macro="">
      <xdr:nvCxnSpPr>
        <xdr:cNvPr id="122" name="Conector recto 121">
          <a:extLst>
            <a:ext uri="{FF2B5EF4-FFF2-40B4-BE49-F238E27FC236}">
              <a16:creationId xmlns:a16="http://schemas.microsoft.com/office/drawing/2014/main" id="{07D6C0ED-4A76-ADD8-C414-7C8E9725F26B}"/>
            </a:ext>
          </a:extLst>
        </xdr:cNvPr>
        <xdr:cNvCxnSpPr>
          <a:stCxn id="116" idx="7"/>
          <a:endCxn id="114" idx="5"/>
        </xdr:cNvCxnSpPr>
      </xdr:nvCxnSpPr>
      <xdr:spPr>
        <a:xfrm flipH="1" flipV="1">
          <a:off x="5404852" y="2633535"/>
          <a:ext cx="475540" cy="17906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198966</xdr:colOff>
      <xdr:row>2</xdr:row>
      <xdr:rowOff>45797</xdr:rowOff>
    </xdr:from>
    <xdr:to>
      <xdr:col>5</xdr:col>
      <xdr:colOff>289771</xdr:colOff>
      <xdr:row>2</xdr:row>
      <xdr:rowOff>138507</xdr:rowOff>
    </xdr:to>
    <xdr:sp macro="" textlink="">
      <xdr:nvSpPr>
        <xdr:cNvPr id="2" name="Elipse 1">
          <a:extLst>
            <a:ext uri="{FF2B5EF4-FFF2-40B4-BE49-F238E27FC236}">
              <a16:creationId xmlns:a16="http://schemas.microsoft.com/office/drawing/2014/main" id="{3899C0D2-DACF-42AA-A59A-2DFE982E29E4}"/>
            </a:ext>
          </a:extLst>
        </xdr:cNvPr>
        <xdr:cNvSpPr/>
      </xdr:nvSpPr>
      <xdr:spPr>
        <a:xfrm>
          <a:off x="4397586" y="426797"/>
          <a:ext cx="90805" cy="92710"/>
        </a:xfrm>
        <a:prstGeom prst="ellipse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196273</xdr:colOff>
      <xdr:row>2</xdr:row>
      <xdr:rowOff>58497</xdr:rowOff>
    </xdr:from>
    <xdr:to>
      <xdr:col>8</xdr:col>
      <xdr:colOff>276283</xdr:colOff>
      <xdr:row>2</xdr:row>
      <xdr:rowOff>133427</xdr:rowOff>
    </xdr:to>
    <xdr:sp macro="" textlink="">
      <xdr:nvSpPr>
        <xdr:cNvPr id="3" name="Diagrama de flujo: proceso alternativo 2">
          <a:extLst>
            <a:ext uri="{FF2B5EF4-FFF2-40B4-BE49-F238E27FC236}">
              <a16:creationId xmlns:a16="http://schemas.microsoft.com/office/drawing/2014/main" id="{2162ADA1-5742-4419-B9E2-4B205B5FDA1A}"/>
            </a:ext>
          </a:extLst>
        </xdr:cNvPr>
        <xdr:cNvSpPr/>
      </xdr:nvSpPr>
      <xdr:spPr>
        <a:xfrm>
          <a:off x="5835073" y="439497"/>
          <a:ext cx="80010" cy="74930"/>
        </a:xfrm>
        <a:prstGeom prst="flowChartAlternateProcess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202638</xdr:colOff>
      <xdr:row>2</xdr:row>
      <xdr:rowOff>43607</xdr:rowOff>
    </xdr:from>
    <xdr:to>
      <xdr:col>9</xdr:col>
      <xdr:colOff>270583</xdr:colOff>
      <xdr:row>2</xdr:row>
      <xdr:rowOff>115362</xdr:rowOff>
    </xdr:to>
    <xdr:sp macro="" textlink="">
      <xdr:nvSpPr>
        <xdr:cNvPr id="4" name="Diagrama de flujo: combinar 3">
          <a:extLst>
            <a:ext uri="{FF2B5EF4-FFF2-40B4-BE49-F238E27FC236}">
              <a16:creationId xmlns:a16="http://schemas.microsoft.com/office/drawing/2014/main" id="{DBE26B6B-BCF1-4DBD-AFCF-53DD736601CE}"/>
            </a:ext>
          </a:extLst>
        </xdr:cNvPr>
        <xdr:cNvSpPr/>
      </xdr:nvSpPr>
      <xdr:spPr>
        <a:xfrm>
          <a:off x="6321498" y="424607"/>
          <a:ext cx="67945" cy="71755"/>
        </a:xfrm>
        <a:prstGeom prst="flowChartMerge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188961</xdr:colOff>
      <xdr:row>2</xdr:row>
      <xdr:rowOff>58497</xdr:rowOff>
    </xdr:from>
    <xdr:to>
      <xdr:col>7</xdr:col>
      <xdr:colOff>286116</xdr:colOff>
      <xdr:row>2</xdr:row>
      <xdr:rowOff>138507</xdr:rowOff>
    </xdr:to>
    <xdr:sp macro="" textlink="">
      <xdr:nvSpPr>
        <xdr:cNvPr id="5" name="Diagrama de flujo: retraso 4">
          <a:extLst>
            <a:ext uri="{FF2B5EF4-FFF2-40B4-BE49-F238E27FC236}">
              <a16:creationId xmlns:a16="http://schemas.microsoft.com/office/drawing/2014/main" id="{ADFE3920-DA77-409A-9388-4B44BEC00BDA}"/>
            </a:ext>
          </a:extLst>
        </xdr:cNvPr>
        <xdr:cNvSpPr/>
      </xdr:nvSpPr>
      <xdr:spPr>
        <a:xfrm>
          <a:off x="5347701" y="439497"/>
          <a:ext cx="97155" cy="80010"/>
        </a:xfrm>
        <a:prstGeom prst="flowChartDelay">
          <a:avLst/>
        </a:prstGeom>
        <a:ln>
          <a:solidFill>
            <a:schemeClr val="tx2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221673</xdr:colOff>
      <xdr:row>2</xdr:row>
      <xdr:rowOff>61191</xdr:rowOff>
    </xdr:from>
    <xdr:to>
      <xdr:col>6</xdr:col>
      <xdr:colOff>301683</xdr:colOff>
      <xdr:row>2</xdr:row>
      <xdr:rowOff>132311</xdr:rowOff>
    </xdr:to>
    <xdr:sp macro="" textlink="">
      <xdr:nvSpPr>
        <xdr:cNvPr id="6" name="Flecha: a la derecha 5">
          <a:extLst>
            <a:ext uri="{FF2B5EF4-FFF2-40B4-BE49-F238E27FC236}">
              <a16:creationId xmlns:a16="http://schemas.microsoft.com/office/drawing/2014/main" id="{942A42B4-B343-49FD-A447-E872739B40BD}"/>
            </a:ext>
          </a:extLst>
        </xdr:cNvPr>
        <xdr:cNvSpPr/>
      </xdr:nvSpPr>
      <xdr:spPr>
        <a:xfrm>
          <a:off x="4900353" y="442191"/>
          <a:ext cx="80010" cy="7112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</xdr:row>
      <xdr:rowOff>60960</xdr:rowOff>
    </xdr:from>
    <xdr:to>
      <xdr:col>6</xdr:col>
      <xdr:colOff>263525</xdr:colOff>
      <xdr:row>5</xdr:row>
      <xdr:rowOff>106045</xdr:rowOff>
    </xdr:to>
    <xdr:sp macro="" textlink="">
      <xdr:nvSpPr>
        <xdr:cNvPr id="7" name="Elipse 6">
          <a:extLst>
            <a:ext uri="{FF2B5EF4-FFF2-40B4-BE49-F238E27FC236}">
              <a16:creationId xmlns:a16="http://schemas.microsoft.com/office/drawing/2014/main" id="{B677CBF2-5127-44C8-BA4F-0874878F0A1D}"/>
            </a:ext>
          </a:extLst>
        </xdr:cNvPr>
        <xdr:cNvSpPr/>
      </xdr:nvSpPr>
      <xdr:spPr>
        <a:xfrm>
          <a:off x="4897120" y="1013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6</xdr:row>
      <xdr:rowOff>60960</xdr:rowOff>
    </xdr:from>
    <xdr:to>
      <xdr:col>5</xdr:col>
      <xdr:colOff>263525</xdr:colOff>
      <xdr:row>6</xdr:row>
      <xdr:rowOff>106045</xdr:rowOff>
    </xdr:to>
    <xdr:sp macro="" textlink="">
      <xdr:nvSpPr>
        <xdr:cNvPr id="8" name="Elipse 7">
          <a:extLst>
            <a:ext uri="{FF2B5EF4-FFF2-40B4-BE49-F238E27FC236}">
              <a16:creationId xmlns:a16="http://schemas.microsoft.com/office/drawing/2014/main" id="{299D5563-B11C-4CBF-8024-68B8AEEE7B1C}"/>
            </a:ext>
          </a:extLst>
        </xdr:cNvPr>
        <xdr:cNvSpPr/>
      </xdr:nvSpPr>
      <xdr:spPr>
        <a:xfrm>
          <a:off x="4417060" y="1203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7</xdr:row>
      <xdr:rowOff>68657</xdr:rowOff>
    </xdr:from>
    <xdr:to>
      <xdr:col>6</xdr:col>
      <xdr:colOff>263525</xdr:colOff>
      <xdr:row>7</xdr:row>
      <xdr:rowOff>113742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4D9A2C9D-A148-4C8B-9A26-1BA884EA5F4E}"/>
            </a:ext>
          </a:extLst>
        </xdr:cNvPr>
        <xdr:cNvSpPr/>
      </xdr:nvSpPr>
      <xdr:spPr>
        <a:xfrm>
          <a:off x="4897120" y="140215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8</xdr:row>
      <xdr:rowOff>60960</xdr:rowOff>
    </xdr:from>
    <xdr:to>
      <xdr:col>5</xdr:col>
      <xdr:colOff>263525</xdr:colOff>
      <xdr:row>8</xdr:row>
      <xdr:rowOff>106045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6C5A753F-6D20-4211-A8C4-A48EFF0FCE09}"/>
            </a:ext>
          </a:extLst>
        </xdr:cNvPr>
        <xdr:cNvSpPr/>
      </xdr:nvSpPr>
      <xdr:spPr>
        <a:xfrm>
          <a:off x="4417060" y="1584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9</xdr:row>
      <xdr:rowOff>60960</xdr:rowOff>
    </xdr:from>
    <xdr:to>
      <xdr:col>6</xdr:col>
      <xdr:colOff>263525</xdr:colOff>
      <xdr:row>9</xdr:row>
      <xdr:rowOff>106045</xdr:rowOff>
    </xdr:to>
    <xdr:sp macro="" textlink="">
      <xdr:nvSpPr>
        <xdr:cNvPr id="11" name="Elipse 10">
          <a:extLst>
            <a:ext uri="{FF2B5EF4-FFF2-40B4-BE49-F238E27FC236}">
              <a16:creationId xmlns:a16="http://schemas.microsoft.com/office/drawing/2014/main" id="{EE713F06-D89E-4ED2-AF73-C18661CBA05C}"/>
            </a:ext>
          </a:extLst>
        </xdr:cNvPr>
        <xdr:cNvSpPr/>
      </xdr:nvSpPr>
      <xdr:spPr>
        <a:xfrm>
          <a:off x="4897120" y="1775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10</xdr:row>
      <xdr:rowOff>60960</xdr:rowOff>
    </xdr:from>
    <xdr:to>
      <xdr:col>5</xdr:col>
      <xdr:colOff>263525</xdr:colOff>
      <xdr:row>10</xdr:row>
      <xdr:rowOff>106045</xdr:rowOff>
    </xdr:to>
    <xdr:sp macro="" textlink="">
      <xdr:nvSpPr>
        <xdr:cNvPr id="12" name="Elipse 11">
          <a:extLst>
            <a:ext uri="{FF2B5EF4-FFF2-40B4-BE49-F238E27FC236}">
              <a16:creationId xmlns:a16="http://schemas.microsoft.com/office/drawing/2014/main" id="{A3690711-14A0-46EC-86E8-237512B7700E}"/>
            </a:ext>
          </a:extLst>
        </xdr:cNvPr>
        <xdr:cNvSpPr/>
      </xdr:nvSpPr>
      <xdr:spPr>
        <a:xfrm>
          <a:off x="4417060" y="1965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11</xdr:row>
      <xdr:rowOff>60960</xdr:rowOff>
    </xdr:from>
    <xdr:to>
      <xdr:col>6</xdr:col>
      <xdr:colOff>263525</xdr:colOff>
      <xdr:row>11</xdr:row>
      <xdr:rowOff>106045</xdr:rowOff>
    </xdr:to>
    <xdr:sp macro="" textlink="">
      <xdr:nvSpPr>
        <xdr:cNvPr id="13" name="Elipse 12">
          <a:extLst>
            <a:ext uri="{FF2B5EF4-FFF2-40B4-BE49-F238E27FC236}">
              <a16:creationId xmlns:a16="http://schemas.microsoft.com/office/drawing/2014/main" id="{ABC82D30-8EAA-47C1-A3ED-68CC16912237}"/>
            </a:ext>
          </a:extLst>
        </xdr:cNvPr>
        <xdr:cNvSpPr/>
      </xdr:nvSpPr>
      <xdr:spPr>
        <a:xfrm>
          <a:off x="4897120" y="2156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12</xdr:row>
      <xdr:rowOff>60960</xdr:rowOff>
    </xdr:from>
    <xdr:to>
      <xdr:col>5</xdr:col>
      <xdr:colOff>263525</xdr:colOff>
      <xdr:row>12</xdr:row>
      <xdr:rowOff>106045</xdr:rowOff>
    </xdr:to>
    <xdr:sp macro="" textlink="">
      <xdr:nvSpPr>
        <xdr:cNvPr id="14" name="Elipse 13">
          <a:extLst>
            <a:ext uri="{FF2B5EF4-FFF2-40B4-BE49-F238E27FC236}">
              <a16:creationId xmlns:a16="http://schemas.microsoft.com/office/drawing/2014/main" id="{7D0151C8-FA47-4F4C-A99E-FD6814E9492F}"/>
            </a:ext>
          </a:extLst>
        </xdr:cNvPr>
        <xdr:cNvSpPr/>
      </xdr:nvSpPr>
      <xdr:spPr>
        <a:xfrm>
          <a:off x="4417060" y="2346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13</xdr:row>
      <xdr:rowOff>60960</xdr:rowOff>
    </xdr:from>
    <xdr:to>
      <xdr:col>6</xdr:col>
      <xdr:colOff>263525</xdr:colOff>
      <xdr:row>13</xdr:row>
      <xdr:rowOff>106045</xdr:rowOff>
    </xdr:to>
    <xdr:sp macro="" textlink="">
      <xdr:nvSpPr>
        <xdr:cNvPr id="15" name="Elipse 14">
          <a:extLst>
            <a:ext uri="{FF2B5EF4-FFF2-40B4-BE49-F238E27FC236}">
              <a16:creationId xmlns:a16="http://schemas.microsoft.com/office/drawing/2014/main" id="{58122B22-026E-443E-9834-004BFD233A0F}"/>
            </a:ext>
          </a:extLst>
        </xdr:cNvPr>
        <xdr:cNvSpPr/>
      </xdr:nvSpPr>
      <xdr:spPr>
        <a:xfrm>
          <a:off x="4897120" y="2537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15</xdr:row>
      <xdr:rowOff>60960</xdr:rowOff>
    </xdr:from>
    <xdr:to>
      <xdr:col>6</xdr:col>
      <xdr:colOff>263525</xdr:colOff>
      <xdr:row>15</xdr:row>
      <xdr:rowOff>106045</xdr:rowOff>
    </xdr:to>
    <xdr:sp macro="" textlink="">
      <xdr:nvSpPr>
        <xdr:cNvPr id="16" name="Elipse 15">
          <a:extLst>
            <a:ext uri="{FF2B5EF4-FFF2-40B4-BE49-F238E27FC236}">
              <a16:creationId xmlns:a16="http://schemas.microsoft.com/office/drawing/2014/main" id="{48DF1A68-9E52-4EE2-A0F8-A1348A88C5E9}"/>
            </a:ext>
          </a:extLst>
        </xdr:cNvPr>
        <xdr:cNvSpPr/>
      </xdr:nvSpPr>
      <xdr:spPr>
        <a:xfrm>
          <a:off x="4897120" y="2918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218440</xdr:colOff>
      <xdr:row>17</xdr:row>
      <xdr:rowOff>68657</xdr:rowOff>
    </xdr:from>
    <xdr:to>
      <xdr:col>8</xdr:col>
      <xdr:colOff>263525</xdr:colOff>
      <xdr:row>17</xdr:row>
      <xdr:rowOff>113742</xdr:rowOff>
    </xdr:to>
    <xdr:sp macro="" textlink="">
      <xdr:nvSpPr>
        <xdr:cNvPr id="17" name="Elipse 16">
          <a:extLst>
            <a:ext uri="{FF2B5EF4-FFF2-40B4-BE49-F238E27FC236}">
              <a16:creationId xmlns:a16="http://schemas.microsoft.com/office/drawing/2014/main" id="{30E2EFC6-E871-458E-B66C-87506F80985C}"/>
            </a:ext>
          </a:extLst>
        </xdr:cNvPr>
        <xdr:cNvSpPr/>
      </xdr:nvSpPr>
      <xdr:spPr>
        <a:xfrm>
          <a:off x="5857240" y="330715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18</xdr:row>
      <xdr:rowOff>60960</xdr:rowOff>
    </xdr:from>
    <xdr:to>
      <xdr:col>6</xdr:col>
      <xdr:colOff>263525</xdr:colOff>
      <xdr:row>18</xdr:row>
      <xdr:rowOff>106045</xdr:rowOff>
    </xdr:to>
    <xdr:sp macro="" textlink="">
      <xdr:nvSpPr>
        <xdr:cNvPr id="18" name="Elipse 17">
          <a:extLst>
            <a:ext uri="{FF2B5EF4-FFF2-40B4-BE49-F238E27FC236}">
              <a16:creationId xmlns:a16="http://schemas.microsoft.com/office/drawing/2014/main" id="{3BF6F3F6-75A5-4A5A-B26D-02C8F288A2E6}"/>
            </a:ext>
          </a:extLst>
        </xdr:cNvPr>
        <xdr:cNvSpPr/>
      </xdr:nvSpPr>
      <xdr:spPr>
        <a:xfrm>
          <a:off x="4897120" y="3489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19</xdr:row>
      <xdr:rowOff>60960</xdr:rowOff>
    </xdr:from>
    <xdr:to>
      <xdr:col>5</xdr:col>
      <xdr:colOff>263525</xdr:colOff>
      <xdr:row>19</xdr:row>
      <xdr:rowOff>106045</xdr:rowOff>
    </xdr:to>
    <xdr:sp macro="" textlink="">
      <xdr:nvSpPr>
        <xdr:cNvPr id="19" name="Elipse 18">
          <a:extLst>
            <a:ext uri="{FF2B5EF4-FFF2-40B4-BE49-F238E27FC236}">
              <a16:creationId xmlns:a16="http://schemas.microsoft.com/office/drawing/2014/main" id="{A6611925-725A-449A-9718-BAD62873A5ED}"/>
            </a:ext>
          </a:extLst>
        </xdr:cNvPr>
        <xdr:cNvSpPr/>
      </xdr:nvSpPr>
      <xdr:spPr>
        <a:xfrm>
          <a:off x="4417060" y="3680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20</xdr:row>
      <xdr:rowOff>60960</xdr:rowOff>
    </xdr:from>
    <xdr:to>
      <xdr:col>6</xdr:col>
      <xdr:colOff>263525</xdr:colOff>
      <xdr:row>20</xdr:row>
      <xdr:rowOff>106045</xdr:rowOff>
    </xdr:to>
    <xdr:sp macro="" textlink="">
      <xdr:nvSpPr>
        <xdr:cNvPr id="20" name="Elipse 19">
          <a:extLst>
            <a:ext uri="{FF2B5EF4-FFF2-40B4-BE49-F238E27FC236}">
              <a16:creationId xmlns:a16="http://schemas.microsoft.com/office/drawing/2014/main" id="{55348741-59F7-4AC0-9FC7-97F60E5A4FAF}"/>
            </a:ext>
          </a:extLst>
        </xdr:cNvPr>
        <xdr:cNvSpPr/>
      </xdr:nvSpPr>
      <xdr:spPr>
        <a:xfrm>
          <a:off x="4897120" y="3870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21</xdr:row>
      <xdr:rowOff>60960</xdr:rowOff>
    </xdr:from>
    <xdr:to>
      <xdr:col>5</xdr:col>
      <xdr:colOff>263525</xdr:colOff>
      <xdr:row>21</xdr:row>
      <xdr:rowOff>106045</xdr:rowOff>
    </xdr:to>
    <xdr:sp macro="" textlink="">
      <xdr:nvSpPr>
        <xdr:cNvPr id="21" name="Elipse 20">
          <a:extLst>
            <a:ext uri="{FF2B5EF4-FFF2-40B4-BE49-F238E27FC236}">
              <a16:creationId xmlns:a16="http://schemas.microsoft.com/office/drawing/2014/main" id="{94B1A825-4CF2-4FA4-8EDD-BB3B93E67E6F}"/>
            </a:ext>
          </a:extLst>
        </xdr:cNvPr>
        <xdr:cNvSpPr/>
      </xdr:nvSpPr>
      <xdr:spPr>
        <a:xfrm>
          <a:off x="4417060" y="4061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14</xdr:row>
      <xdr:rowOff>76970</xdr:rowOff>
    </xdr:from>
    <xdr:to>
      <xdr:col>8</xdr:col>
      <xdr:colOff>260600</xdr:colOff>
      <xdr:row>14</xdr:row>
      <xdr:rowOff>122055</xdr:rowOff>
    </xdr:to>
    <xdr:sp macro="" textlink="">
      <xdr:nvSpPr>
        <xdr:cNvPr id="27" name="Elipse 26">
          <a:extLst>
            <a:ext uri="{FF2B5EF4-FFF2-40B4-BE49-F238E27FC236}">
              <a16:creationId xmlns:a16="http://schemas.microsoft.com/office/drawing/2014/main" id="{D9328EFB-7B4C-4FCB-A939-FF0ABF2AFE82}"/>
            </a:ext>
          </a:extLst>
        </xdr:cNvPr>
        <xdr:cNvSpPr/>
      </xdr:nvSpPr>
      <xdr:spPr>
        <a:xfrm>
          <a:off x="5854315" y="2743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</xdr:row>
      <xdr:rowOff>76970</xdr:rowOff>
    </xdr:from>
    <xdr:to>
      <xdr:col>8</xdr:col>
      <xdr:colOff>260600</xdr:colOff>
      <xdr:row>4</xdr:row>
      <xdr:rowOff>122055</xdr:rowOff>
    </xdr:to>
    <xdr:sp macro="" textlink="">
      <xdr:nvSpPr>
        <xdr:cNvPr id="28" name="Elipse 27">
          <a:extLst>
            <a:ext uri="{FF2B5EF4-FFF2-40B4-BE49-F238E27FC236}">
              <a16:creationId xmlns:a16="http://schemas.microsoft.com/office/drawing/2014/main" id="{A88FC8BB-5B0B-484A-B4AA-94914ECF0254}"/>
            </a:ext>
          </a:extLst>
        </xdr:cNvPr>
        <xdr:cNvSpPr/>
      </xdr:nvSpPr>
      <xdr:spPr>
        <a:xfrm>
          <a:off x="5854315" y="838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24</xdr:row>
      <xdr:rowOff>60960</xdr:rowOff>
    </xdr:from>
    <xdr:to>
      <xdr:col>6</xdr:col>
      <xdr:colOff>263525</xdr:colOff>
      <xdr:row>24</xdr:row>
      <xdr:rowOff>106045</xdr:rowOff>
    </xdr:to>
    <xdr:sp macro="" textlink="">
      <xdr:nvSpPr>
        <xdr:cNvPr id="29" name="Elipse 28">
          <a:extLst>
            <a:ext uri="{FF2B5EF4-FFF2-40B4-BE49-F238E27FC236}">
              <a16:creationId xmlns:a16="http://schemas.microsoft.com/office/drawing/2014/main" id="{0138B06B-95B0-4C01-B09D-3C58D6425883}"/>
            </a:ext>
          </a:extLst>
        </xdr:cNvPr>
        <xdr:cNvSpPr/>
      </xdr:nvSpPr>
      <xdr:spPr>
        <a:xfrm>
          <a:off x="4897120" y="5204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3</xdr:row>
      <xdr:rowOff>69273</xdr:rowOff>
    </xdr:from>
    <xdr:to>
      <xdr:col>9</xdr:col>
      <xdr:colOff>260600</xdr:colOff>
      <xdr:row>3</xdr:row>
      <xdr:rowOff>114358</xdr:rowOff>
    </xdr:to>
    <xdr:sp macro="" textlink="">
      <xdr:nvSpPr>
        <xdr:cNvPr id="30" name="Elipse 29">
          <a:extLst>
            <a:ext uri="{FF2B5EF4-FFF2-40B4-BE49-F238E27FC236}">
              <a16:creationId xmlns:a16="http://schemas.microsoft.com/office/drawing/2014/main" id="{C33C469C-E6A3-4E1B-89A1-0814791348CC}"/>
            </a:ext>
          </a:extLst>
        </xdr:cNvPr>
        <xdr:cNvSpPr/>
      </xdr:nvSpPr>
      <xdr:spPr>
        <a:xfrm>
          <a:off x="6334375" y="6407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25</xdr:row>
      <xdr:rowOff>60960</xdr:rowOff>
    </xdr:from>
    <xdr:to>
      <xdr:col>5</xdr:col>
      <xdr:colOff>263525</xdr:colOff>
      <xdr:row>25</xdr:row>
      <xdr:rowOff>106045</xdr:rowOff>
    </xdr:to>
    <xdr:sp macro="" textlink="">
      <xdr:nvSpPr>
        <xdr:cNvPr id="31" name="Elipse 30">
          <a:extLst>
            <a:ext uri="{FF2B5EF4-FFF2-40B4-BE49-F238E27FC236}">
              <a16:creationId xmlns:a16="http://schemas.microsoft.com/office/drawing/2014/main" id="{B5D24367-360C-4101-B8ED-CC7447E11510}"/>
            </a:ext>
          </a:extLst>
        </xdr:cNvPr>
        <xdr:cNvSpPr/>
      </xdr:nvSpPr>
      <xdr:spPr>
        <a:xfrm>
          <a:off x="4417060" y="5394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207818</xdr:colOff>
      <xdr:row>26</xdr:row>
      <xdr:rowOff>61576</xdr:rowOff>
    </xdr:from>
    <xdr:to>
      <xdr:col>7</xdr:col>
      <xdr:colOff>252903</xdr:colOff>
      <xdr:row>26</xdr:row>
      <xdr:rowOff>106661</xdr:rowOff>
    </xdr:to>
    <xdr:sp macro="" textlink="">
      <xdr:nvSpPr>
        <xdr:cNvPr id="32" name="Elipse 31">
          <a:extLst>
            <a:ext uri="{FF2B5EF4-FFF2-40B4-BE49-F238E27FC236}">
              <a16:creationId xmlns:a16="http://schemas.microsoft.com/office/drawing/2014/main" id="{925B233C-55D4-4D79-ACB3-E272F064BD68}"/>
            </a:ext>
          </a:extLst>
        </xdr:cNvPr>
        <xdr:cNvSpPr/>
      </xdr:nvSpPr>
      <xdr:spPr>
        <a:xfrm>
          <a:off x="5366558" y="5586076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31</xdr:row>
      <xdr:rowOff>76970</xdr:rowOff>
    </xdr:from>
    <xdr:to>
      <xdr:col>8</xdr:col>
      <xdr:colOff>260600</xdr:colOff>
      <xdr:row>31</xdr:row>
      <xdr:rowOff>122055</xdr:rowOff>
    </xdr:to>
    <xdr:sp macro="" textlink="">
      <xdr:nvSpPr>
        <xdr:cNvPr id="33" name="Elipse 32">
          <a:extLst>
            <a:ext uri="{FF2B5EF4-FFF2-40B4-BE49-F238E27FC236}">
              <a16:creationId xmlns:a16="http://schemas.microsoft.com/office/drawing/2014/main" id="{0B009F76-8543-4D88-8E25-35BF7484CB0C}"/>
            </a:ext>
          </a:extLst>
        </xdr:cNvPr>
        <xdr:cNvSpPr/>
      </xdr:nvSpPr>
      <xdr:spPr>
        <a:xfrm>
          <a:off x="5854315" y="5791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32</xdr:row>
      <xdr:rowOff>60960</xdr:rowOff>
    </xdr:from>
    <xdr:to>
      <xdr:col>6</xdr:col>
      <xdr:colOff>263525</xdr:colOff>
      <xdr:row>32</xdr:row>
      <xdr:rowOff>106045</xdr:rowOff>
    </xdr:to>
    <xdr:sp macro="" textlink="">
      <xdr:nvSpPr>
        <xdr:cNvPr id="34" name="Elipse 33">
          <a:extLst>
            <a:ext uri="{FF2B5EF4-FFF2-40B4-BE49-F238E27FC236}">
              <a16:creationId xmlns:a16="http://schemas.microsoft.com/office/drawing/2014/main" id="{7CB8EBBC-9520-4DB5-A195-DDE046EF415A}"/>
            </a:ext>
          </a:extLst>
        </xdr:cNvPr>
        <xdr:cNvSpPr/>
      </xdr:nvSpPr>
      <xdr:spPr>
        <a:xfrm>
          <a:off x="4897120" y="5966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34</xdr:row>
      <xdr:rowOff>60960</xdr:rowOff>
    </xdr:from>
    <xdr:to>
      <xdr:col>6</xdr:col>
      <xdr:colOff>263525</xdr:colOff>
      <xdr:row>34</xdr:row>
      <xdr:rowOff>106045</xdr:rowOff>
    </xdr:to>
    <xdr:sp macro="" textlink="">
      <xdr:nvSpPr>
        <xdr:cNvPr id="35" name="Elipse 34">
          <a:extLst>
            <a:ext uri="{FF2B5EF4-FFF2-40B4-BE49-F238E27FC236}">
              <a16:creationId xmlns:a16="http://schemas.microsoft.com/office/drawing/2014/main" id="{B1E2CE5D-83A4-4F42-BC6E-8A2BD46A804B}"/>
            </a:ext>
          </a:extLst>
        </xdr:cNvPr>
        <xdr:cNvSpPr/>
      </xdr:nvSpPr>
      <xdr:spPr>
        <a:xfrm>
          <a:off x="4897120" y="6347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35</xdr:row>
      <xdr:rowOff>60960</xdr:rowOff>
    </xdr:from>
    <xdr:to>
      <xdr:col>5</xdr:col>
      <xdr:colOff>263525</xdr:colOff>
      <xdr:row>35</xdr:row>
      <xdr:rowOff>106045</xdr:rowOff>
    </xdr:to>
    <xdr:sp macro="" textlink="">
      <xdr:nvSpPr>
        <xdr:cNvPr id="36" name="Elipse 35">
          <a:extLst>
            <a:ext uri="{FF2B5EF4-FFF2-40B4-BE49-F238E27FC236}">
              <a16:creationId xmlns:a16="http://schemas.microsoft.com/office/drawing/2014/main" id="{3F482D57-6388-4FF2-ACA8-73C69227449D}"/>
            </a:ext>
          </a:extLst>
        </xdr:cNvPr>
        <xdr:cNvSpPr/>
      </xdr:nvSpPr>
      <xdr:spPr>
        <a:xfrm>
          <a:off x="4417060" y="6537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36</xdr:row>
      <xdr:rowOff>60960</xdr:rowOff>
    </xdr:from>
    <xdr:to>
      <xdr:col>6</xdr:col>
      <xdr:colOff>263525</xdr:colOff>
      <xdr:row>36</xdr:row>
      <xdr:rowOff>106045</xdr:rowOff>
    </xdr:to>
    <xdr:sp macro="" textlink="">
      <xdr:nvSpPr>
        <xdr:cNvPr id="37" name="Elipse 36">
          <a:extLst>
            <a:ext uri="{FF2B5EF4-FFF2-40B4-BE49-F238E27FC236}">
              <a16:creationId xmlns:a16="http://schemas.microsoft.com/office/drawing/2014/main" id="{30F8BC6F-21EE-421B-BCE9-B08F25BFC045}"/>
            </a:ext>
          </a:extLst>
        </xdr:cNvPr>
        <xdr:cNvSpPr/>
      </xdr:nvSpPr>
      <xdr:spPr>
        <a:xfrm>
          <a:off x="4897120" y="6728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37</xdr:row>
      <xdr:rowOff>60960</xdr:rowOff>
    </xdr:from>
    <xdr:to>
      <xdr:col>5</xdr:col>
      <xdr:colOff>263525</xdr:colOff>
      <xdr:row>37</xdr:row>
      <xdr:rowOff>106045</xdr:rowOff>
    </xdr:to>
    <xdr:sp macro="" textlink="">
      <xdr:nvSpPr>
        <xdr:cNvPr id="38" name="Elipse 37">
          <a:extLst>
            <a:ext uri="{FF2B5EF4-FFF2-40B4-BE49-F238E27FC236}">
              <a16:creationId xmlns:a16="http://schemas.microsoft.com/office/drawing/2014/main" id="{C1152894-BD2C-4DA0-A7E3-41084CC38538}"/>
            </a:ext>
          </a:extLst>
        </xdr:cNvPr>
        <xdr:cNvSpPr/>
      </xdr:nvSpPr>
      <xdr:spPr>
        <a:xfrm>
          <a:off x="4417060" y="6918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207818</xdr:colOff>
      <xdr:row>38</xdr:row>
      <xdr:rowOff>61576</xdr:rowOff>
    </xdr:from>
    <xdr:to>
      <xdr:col>7</xdr:col>
      <xdr:colOff>252903</xdr:colOff>
      <xdr:row>38</xdr:row>
      <xdr:rowOff>106661</xdr:rowOff>
    </xdr:to>
    <xdr:sp macro="" textlink="">
      <xdr:nvSpPr>
        <xdr:cNvPr id="39" name="Elipse 38">
          <a:extLst>
            <a:ext uri="{FF2B5EF4-FFF2-40B4-BE49-F238E27FC236}">
              <a16:creationId xmlns:a16="http://schemas.microsoft.com/office/drawing/2014/main" id="{6ADDA99B-DDB7-433C-93E0-4B1D51BA84F3}"/>
            </a:ext>
          </a:extLst>
        </xdr:cNvPr>
        <xdr:cNvSpPr/>
      </xdr:nvSpPr>
      <xdr:spPr>
        <a:xfrm>
          <a:off x="5366558" y="7110076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39</xdr:row>
      <xdr:rowOff>60960</xdr:rowOff>
    </xdr:from>
    <xdr:to>
      <xdr:col>6</xdr:col>
      <xdr:colOff>263525</xdr:colOff>
      <xdr:row>39</xdr:row>
      <xdr:rowOff>106045</xdr:rowOff>
    </xdr:to>
    <xdr:sp macro="" textlink="">
      <xdr:nvSpPr>
        <xdr:cNvPr id="40" name="Elipse 39">
          <a:extLst>
            <a:ext uri="{FF2B5EF4-FFF2-40B4-BE49-F238E27FC236}">
              <a16:creationId xmlns:a16="http://schemas.microsoft.com/office/drawing/2014/main" id="{79CBEEDB-6BCF-4A8A-A90E-591B809F702D}"/>
            </a:ext>
          </a:extLst>
        </xdr:cNvPr>
        <xdr:cNvSpPr/>
      </xdr:nvSpPr>
      <xdr:spPr>
        <a:xfrm>
          <a:off x="4897120" y="7299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40</xdr:row>
      <xdr:rowOff>60960</xdr:rowOff>
    </xdr:from>
    <xdr:to>
      <xdr:col>5</xdr:col>
      <xdr:colOff>263525</xdr:colOff>
      <xdr:row>40</xdr:row>
      <xdr:rowOff>106045</xdr:rowOff>
    </xdr:to>
    <xdr:sp macro="" textlink="">
      <xdr:nvSpPr>
        <xdr:cNvPr id="41" name="Elipse 40">
          <a:extLst>
            <a:ext uri="{FF2B5EF4-FFF2-40B4-BE49-F238E27FC236}">
              <a16:creationId xmlns:a16="http://schemas.microsoft.com/office/drawing/2014/main" id="{76E58B5C-F829-44C3-8767-B0E7B58D7BCF}"/>
            </a:ext>
          </a:extLst>
        </xdr:cNvPr>
        <xdr:cNvSpPr/>
      </xdr:nvSpPr>
      <xdr:spPr>
        <a:xfrm>
          <a:off x="4417060" y="7490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42</xdr:row>
      <xdr:rowOff>60960</xdr:rowOff>
    </xdr:from>
    <xdr:to>
      <xdr:col>6</xdr:col>
      <xdr:colOff>263525</xdr:colOff>
      <xdr:row>42</xdr:row>
      <xdr:rowOff>106045</xdr:rowOff>
    </xdr:to>
    <xdr:sp macro="" textlink="">
      <xdr:nvSpPr>
        <xdr:cNvPr id="42" name="Elipse 41">
          <a:extLst>
            <a:ext uri="{FF2B5EF4-FFF2-40B4-BE49-F238E27FC236}">
              <a16:creationId xmlns:a16="http://schemas.microsoft.com/office/drawing/2014/main" id="{67C72A38-92F6-41DA-895B-59DD7D8EEB5B}"/>
            </a:ext>
          </a:extLst>
        </xdr:cNvPr>
        <xdr:cNvSpPr/>
      </xdr:nvSpPr>
      <xdr:spPr>
        <a:xfrm>
          <a:off x="4897120" y="7871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33</xdr:row>
      <xdr:rowOff>69273</xdr:rowOff>
    </xdr:from>
    <xdr:to>
      <xdr:col>9</xdr:col>
      <xdr:colOff>260600</xdr:colOff>
      <xdr:row>33</xdr:row>
      <xdr:rowOff>114358</xdr:rowOff>
    </xdr:to>
    <xdr:sp macro="" textlink="">
      <xdr:nvSpPr>
        <xdr:cNvPr id="50" name="Elipse 49">
          <a:extLst>
            <a:ext uri="{FF2B5EF4-FFF2-40B4-BE49-F238E27FC236}">
              <a16:creationId xmlns:a16="http://schemas.microsoft.com/office/drawing/2014/main" id="{DD6CDE93-2523-43A0-85E3-04452599D8EC}"/>
            </a:ext>
          </a:extLst>
        </xdr:cNvPr>
        <xdr:cNvSpPr/>
      </xdr:nvSpPr>
      <xdr:spPr>
        <a:xfrm>
          <a:off x="6334375" y="61652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16</xdr:row>
      <xdr:rowOff>69273</xdr:rowOff>
    </xdr:from>
    <xdr:to>
      <xdr:col>9</xdr:col>
      <xdr:colOff>260600</xdr:colOff>
      <xdr:row>16</xdr:row>
      <xdr:rowOff>114358</xdr:rowOff>
    </xdr:to>
    <xdr:sp macro="" textlink="">
      <xdr:nvSpPr>
        <xdr:cNvPr id="51" name="Elipse 50">
          <a:extLst>
            <a:ext uri="{FF2B5EF4-FFF2-40B4-BE49-F238E27FC236}">
              <a16:creationId xmlns:a16="http://schemas.microsoft.com/office/drawing/2014/main" id="{D4FA954C-160F-4C04-A6BF-0FC1EE76FBB6}"/>
            </a:ext>
          </a:extLst>
        </xdr:cNvPr>
        <xdr:cNvSpPr/>
      </xdr:nvSpPr>
      <xdr:spPr>
        <a:xfrm>
          <a:off x="6334375" y="31172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43</xdr:row>
      <xdr:rowOff>69273</xdr:rowOff>
    </xdr:from>
    <xdr:to>
      <xdr:col>9</xdr:col>
      <xdr:colOff>260600</xdr:colOff>
      <xdr:row>43</xdr:row>
      <xdr:rowOff>114358</xdr:rowOff>
    </xdr:to>
    <xdr:sp macro="" textlink="">
      <xdr:nvSpPr>
        <xdr:cNvPr id="53" name="Elipse 52">
          <a:extLst>
            <a:ext uri="{FF2B5EF4-FFF2-40B4-BE49-F238E27FC236}">
              <a16:creationId xmlns:a16="http://schemas.microsoft.com/office/drawing/2014/main" id="{13C9498F-72C0-42D9-B46F-A5222DF68892}"/>
            </a:ext>
          </a:extLst>
        </xdr:cNvPr>
        <xdr:cNvSpPr/>
      </xdr:nvSpPr>
      <xdr:spPr>
        <a:xfrm>
          <a:off x="6334375" y="99752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45</xdr:row>
      <xdr:rowOff>60960</xdr:rowOff>
    </xdr:from>
    <xdr:to>
      <xdr:col>6</xdr:col>
      <xdr:colOff>263525</xdr:colOff>
      <xdr:row>45</xdr:row>
      <xdr:rowOff>106045</xdr:rowOff>
    </xdr:to>
    <xdr:sp macro="" textlink="">
      <xdr:nvSpPr>
        <xdr:cNvPr id="54" name="Elipse 53">
          <a:extLst>
            <a:ext uri="{FF2B5EF4-FFF2-40B4-BE49-F238E27FC236}">
              <a16:creationId xmlns:a16="http://schemas.microsoft.com/office/drawing/2014/main" id="{43221618-46AE-4756-B061-D481F1E95A5C}"/>
            </a:ext>
          </a:extLst>
        </xdr:cNvPr>
        <xdr:cNvSpPr/>
      </xdr:nvSpPr>
      <xdr:spPr>
        <a:xfrm>
          <a:off x="4897120" y="10347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46</xdr:row>
      <xdr:rowOff>60960</xdr:rowOff>
    </xdr:from>
    <xdr:to>
      <xdr:col>5</xdr:col>
      <xdr:colOff>263525</xdr:colOff>
      <xdr:row>46</xdr:row>
      <xdr:rowOff>106045</xdr:rowOff>
    </xdr:to>
    <xdr:sp macro="" textlink="">
      <xdr:nvSpPr>
        <xdr:cNvPr id="55" name="Elipse 54">
          <a:extLst>
            <a:ext uri="{FF2B5EF4-FFF2-40B4-BE49-F238E27FC236}">
              <a16:creationId xmlns:a16="http://schemas.microsoft.com/office/drawing/2014/main" id="{3E13E3C4-F2EA-41C2-8B06-A72CC0575594}"/>
            </a:ext>
          </a:extLst>
        </xdr:cNvPr>
        <xdr:cNvSpPr/>
      </xdr:nvSpPr>
      <xdr:spPr>
        <a:xfrm>
          <a:off x="4417060" y="10538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47</xdr:row>
      <xdr:rowOff>60960</xdr:rowOff>
    </xdr:from>
    <xdr:to>
      <xdr:col>6</xdr:col>
      <xdr:colOff>263525</xdr:colOff>
      <xdr:row>47</xdr:row>
      <xdr:rowOff>106045</xdr:rowOff>
    </xdr:to>
    <xdr:sp macro="" textlink="">
      <xdr:nvSpPr>
        <xdr:cNvPr id="56" name="Elipse 55">
          <a:extLst>
            <a:ext uri="{FF2B5EF4-FFF2-40B4-BE49-F238E27FC236}">
              <a16:creationId xmlns:a16="http://schemas.microsoft.com/office/drawing/2014/main" id="{06219DEE-BE3B-4B1B-9F5B-AD54D2552046}"/>
            </a:ext>
          </a:extLst>
        </xdr:cNvPr>
        <xdr:cNvSpPr/>
      </xdr:nvSpPr>
      <xdr:spPr>
        <a:xfrm>
          <a:off x="4897120" y="10728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48</xdr:row>
      <xdr:rowOff>60960</xdr:rowOff>
    </xdr:from>
    <xdr:to>
      <xdr:col>5</xdr:col>
      <xdr:colOff>263525</xdr:colOff>
      <xdr:row>48</xdr:row>
      <xdr:rowOff>106045</xdr:rowOff>
    </xdr:to>
    <xdr:sp macro="" textlink="">
      <xdr:nvSpPr>
        <xdr:cNvPr id="57" name="Elipse 56">
          <a:extLst>
            <a:ext uri="{FF2B5EF4-FFF2-40B4-BE49-F238E27FC236}">
              <a16:creationId xmlns:a16="http://schemas.microsoft.com/office/drawing/2014/main" id="{695AC4C4-4846-4F3A-86B5-8E5630A3957F}"/>
            </a:ext>
          </a:extLst>
        </xdr:cNvPr>
        <xdr:cNvSpPr/>
      </xdr:nvSpPr>
      <xdr:spPr>
        <a:xfrm>
          <a:off x="4417060" y="10919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49</xdr:row>
      <xdr:rowOff>60960</xdr:rowOff>
    </xdr:from>
    <xdr:to>
      <xdr:col>6</xdr:col>
      <xdr:colOff>263525</xdr:colOff>
      <xdr:row>49</xdr:row>
      <xdr:rowOff>106045</xdr:rowOff>
    </xdr:to>
    <xdr:sp macro="" textlink="">
      <xdr:nvSpPr>
        <xdr:cNvPr id="58" name="Elipse 57">
          <a:extLst>
            <a:ext uri="{FF2B5EF4-FFF2-40B4-BE49-F238E27FC236}">
              <a16:creationId xmlns:a16="http://schemas.microsoft.com/office/drawing/2014/main" id="{F9ACC683-9579-461D-A07B-5E5A39267390}"/>
            </a:ext>
          </a:extLst>
        </xdr:cNvPr>
        <xdr:cNvSpPr/>
      </xdr:nvSpPr>
      <xdr:spPr>
        <a:xfrm>
          <a:off x="4897120" y="11109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50</xdr:row>
      <xdr:rowOff>60960</xdr:rowOff>
    </xdr:from>
    <xdr:to>
      <xdr:col>5</xdr:col>
      <xdr:colOff>263525</xdr:colOff>
      <xdr:row>50</xdr:row>
      <xdr:rowOff>106045</xdr:rowOff>
    </xdr:to>
    <xdr:sp macro="" textlink="">
      <xdr:nvSpPr>
        <xdr:cNvPr id="59" name="Elipse 58">
          <a:extLst>
            <a:ext uri="{FF2B5EF4-FFF2-40B4-BE49-F238E27FC236}">
              <a16:creationId xmlns:a16="http://schemas.microsoft.com/office/drawing/2014/main" id="{EA5F8839-4507-4F17-83AD-68F877D3F60C}"/>
            </a:ext>
          </a:extLst>
        </xdr:cNvPr>
        <xdr:cNvSpPr/>
      </xdr:nvSpPr>
      <xdr:spPr>
        <a:xfrm>
          <a:off x="4417060" y="11300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52</xdr:row>
      <xdr:rowOff>60960</xdr:rowOff>
    </xdr:from>
    <xdr:to>
      <xdr:col>6</xdr:col>
      <xdr:colOff>263525</xdr:colOff>
      <xdr:row>52</xdr:row>
      <xdr:rowOff>106045</xdr:rowOff>
    </xdr:to>
    <xdr:sp macro="" textlink="">
      <xdr:nvSpPr>
        <xdr:cNvPr id="60" name="Elipse 59">
          <a:extLst>
            <a:ext uri="{FF2B5EF4-FFF2-40B4-BE49-F238E27FC236}">
              <a16:creationId xmlns:a16="http://schemas.microsoft.com/office/drawing/2014/main" id="{1238A6CA-E936-4B17-B5B1-112FE457E420}"/>
            </a:ext>
          </a:extLst>
        </xdr:cNvPr>
        <xdr:cNvSpPr/>
      </xdr:nvSpPr>
      <xdr:spPr>
        <a:xfrm>
          <a:off x="4897120" y="11681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53</xdr:row>
      <xdr:rowOff>60960</xdr:rowOff>
    </xdr:from>
    <xdr:to>
      <xdr:col>5</xdr:col>
      <xdr:colOff>263525</xdr:colOff>
      <xdr:row>53</xdr:row>
      <xdr:rowOff>106045</xdr:rowOff>
    </xdr:to>
    <xdr:sp macro="" textlink="">
      <xdr:nvSpPr>
        <xdr:cNvPr id="61" name="Elipse 60">
          <a:extLst>
            <a:ext uri="{FF2B5EF4-FFF2-40B4-BE49-F238E27FC236}">
              <a16:creationId xmlns:a16="http://schemas.microsoft.com/office/drawing/2014/main" id="{E277B32F-B668-4B5F-860F-365923278723}"/>
            </a:ext>
          </a:extLst>
        </xdr:cNvPr>
        <xdr:cNvSpPr/>
      </xdr:nvSpPr>
      <xdr:spPr>
        <a:xfrm>
          <a:off x="4417060" y="11871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55</xdr:row>
      <xdr:rowOff>60960</xdr:rowOff>
    </xdr:from>
    <xdr:to>
      <xdr:col>6</xdr:col>
      <xdr:colOff>263525</xdr:colOff>
      <xdr:row>55</xdr:row>
      <xdr:rowOff>106045</xdr:rowOff>
    </xdr:to>
    <xdr:sp macro="" textlink="">
      <xdr:nvSpPr>
        <xdr:cNvPr id="62" name="Elipse 61">
          <a:extLst>
            <a:ext uri="{FF2B5EF4-FFF2-40B4-BE49-F238E27FC236}">
              <a16:creationId xmlns:a16="http://schemas.microsoft.com/office/drawing/2014/main" id="{52C9C954-41AE-42CC-9A1D-D1CB5AA0C366}"/>
            </a:ext>
          </a:extLst>
        </xdr:cNvPr>
        <xdr:cNvSpPr/>
      </xdr:nvSpPr>
      <xdr:spPr>
        <a:xfrm>
          <a:off x="4897120" y="12252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41</xdr:row>
      <xdr:rowOff>76970</xdr:rowOff>
    </xdr:from>
    <xdr:to>
      <xdr:col>8</xdr:col>
      <xdr:colOff>260600</xdr:colOff>
      <xdr:row>41</xdr:row>
      <xdr:rowOff>122055</xdr:rowOff>
    </xdr:to>
    <xdr:sp macro="" textlink="">
      <xdr:nvSpPr>
        <xdr:cNvPr id="63" name="Elipse 62">
          <a:extLst>
            <a:ext uri="{FF2B5EF4-FFF2-40B4-BE49-F238E27FC236}">
              <a16:creationId xmlns:a16="http://schemas.microsoft.com/office/drawing/2014/main" id="{FFAAE9E5-8869-42E9-9F75-CF8498D3D455}"/>
            </a:ext>
          </a:extLst>
        </xdr:cNvPr>
        <xdr:cNvSpPr/>
      </xdr:nvSpPr>
      <xdr:spPr>
        <a:xfrm>
          <a:off x="5854315" y="7696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44</xdr:row>
      <xdr:rowOff>76970</xdr:rowOff>
    </xdr:from>
    <xdr:to>
      <xdr:col>8</xdr:col>
      <xdr:colOff>260600</xdr:colOff>
      <xdr:row>44</xdr:row>
      <xdr:rowOff>122055</xdr:rowOff>
    </xdr:to>
    <xdr:sp macro="" textlink="">
      <xdr:nvSpPr>
        <xdr:cNvPr id="66" name="Elipse 65">
          <a:extLst>
            <a:ext uri="{FF2B5EF4-FFF2-40B4-BE49-F238E27FC236}">
              <a16:creationId xmlns:a16="http://schemas.microsoft.com/office/drawing/2014/main" id="{57703A3C-6AEC-4834-B895-8C6732937126}"/>
            </a:ext>
          </a:extLst>
        </xdr:cNvPr>
        <xdr:cNvSpPr/>
      </xdr:nvSpPr>
      <xdr:spPr>
        <a:xfrm>
          <a:off x="5854315" y="10173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51</xdr:row>
      <xdr:rowOff>76970</xdr:rowOff>
    </xdr:from>
    <xdr:to>
      <xdr:col>8</xdr:col>
      <xdr:colOff>260600</xdr:colOff>
      <xdr:row>51</xdr:row>
      <xdr:rowOff>122055</xdr:rowOff>
    </xdr:to>
    <xdr:sp macro="" textlink="">
      <xdr:nvSpPr>
        <xdr:cNvPr id="67" name="Elipse 66">
          <a:extLst>
            <a:ext uri="{FF2B5EF4-FFF2-40B4-BE49-F238E27FC236}">
              <a16:creationId xmlns:a16="http://schemas.microsoft.com/office/drawing/2014/main" id="{56003FD9-85D9-48C0-ABF2-67BD83A417ED}"/>
            </a:ext>
          </a:extLst>
        </xdr:cNvPr>
        <xdr:cNvSpPr/>
      </xdr:nvSpPr>
      <xdr:spPr>
        <a:xfrm>
          <a:off x="5854315" y="11506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54</xdr:row>
      <xdr:rowOff>76970</xdr:rowOff>
    </xdr:from>
    <xdr:to>
      <xdr:col>8</xdr:col>
      <xdr:colOff>260600</xdr:colOff>
      <xdr:row>54</xdr:row>
      <xdr:rowOff>122055</xdr:rowOff>
    </xdr:to>
    <xdr:sp macro="" textlink="">
      <xdr:nvSpPr>
        <xdr:cNvPr id="68" name="Elipse 67">
          <a:extLst>
            <a:ext uri="{FF2B5EF4-FFF2-40B4-BE49-F238E27FC236}">
              <a16:creationId xmlns:a16="http://schemas.microsoft.com/office/drawing/2014/main" id="{9AEFF291-C4F5-434E-8FFE-AA954A99927B}"/>
            </a:ext>
          </a:extLst>
        </xdr:cNvPr>
        <xdr:cNvSpPr/>
      </xdr:nvSpPr>
      <xdr:spPr>
        <a:xfrm>
          <a:off x="5854315" y="12078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253997</xdr:colOff>
      <xdr:row>3</xdr:row>
      <xdr:rowOff>75876</xdr:rowOff>
    </xdr:from>
    <xdr:to>
      <xdr:col>9</xdr:col>
      <xdr:colOff>253997</xdr:colOff>
      <xdr:row>4</xdr:row>
      <xdr:rowOff>83573</xdr:rowOff>
    </xdr:to>
    <xdr:cxnSp macro="">
      <xdr:nvCxnSpPr>
        <xdr:cNvPr id="69" name="Conector recto 68">
          <a:extLst>
            <a:ext uri="{FF2B5EF4-FFF2-40B4-BE49-F238E27FC236}">
              <a16:creationId xmlns:a16="http://schemas.microsoft.com/office/drawing/2014/main" id="{646B58A3-9944-4ACC-A228-7FFCFE2DBAE4}"/>
            </a:ext>
          </a:extLst>
        </xdr:cNvPr>
        <xdr:cNvCxnSpPr>
          <a:stCxn id="30" idx="7"/>
          <a:endCxn id="28" idx="7"/>
        </xdr:cNvCxnSpPr>
      </xdr:nvCxnSpPr>
      <xdr:spPr>
        <a:xfrm flipH="1">
          <a:off x="5892797" y="647376"/>
          <a:ext cx="480060" cy="19819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</xdr:row>
      <xdr:rowOff>99513</xdr:rowOff>
    </xdr:from>
    <xdr:to>
      <xdr:col>8</xdr:col>
      <xdr:colOff>215515</xdr:colOff>
      <xdr:row>5</xdr:row>
      <xdr:rowOff>67563</xdr:rowOff>
    </xdr:to>
    <xdr:cxnSp macro="">
      <xdr:nvCxnSpPr>
        <xdr:cNvPr id="70" name="Conector recto 69">
          <a:extLst>
            <a:ext uri="{FF2B5EF4-FFF2-40B4-BE49-F238E27FC236}">
              <a16:creationId xmlns:a16="http://schemas.microsoft.com/office/drawing/2014/main" id="{5D86DE3D-04FC-4852-AFEB-671F7DB7202E}"/>
            </a:ext>
          </a:extLst>
        </xdr:cNvPr>
        <xdr:cNvCxnSpPr>
          <a:stCxn id="7" idx="7"/>
          <a:endCxn id="28" idx="2"/>
        </xdr:cNvCxnSpPr>
      </xdr:nvCxnSpPr>
      <xdr:spPr>
        <a:xfrm flipV="1">
          <a:off x="4935602" y="861513"/>
          <a:ext cx="918713" cy="1585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</xdr:row>
      <xdr:rowOff>83503</xdr:rowOff>
    </xdr:from>
    <xdr:to>
      <xdr:col>6</xdr:col>
      <xdr:colOff>263525</xdr:colOff>
      <xdr:row>6</xdr:row>
      <xdr:rowOff>67563</xdr:rowOff>
    </xdr:to>
    <xdr:cxnSp macro="">
      <xdr:nvCxnSpPr>
        <xdr:cNvPr id="71" name="Conector recto 70">
          <a:extLst>
            <a:ext uri="{FF2B5EF4-FFF2-40B4-BE49-F238E27FC236}">
              <a16:creationId xmlns:a16="http://schemas.microsoft.com/office/drawing/2014/main" id="{A6024175-3CA2-48C6-BA68-A2AC944CEDA8}"/>
            </a:ext>
          </a:extLst>
        </xdr:cNvPr>
        <xdr:cNvCxnSpPr>
          <a:stCxn id="8" idx="7"/>
          <a:endCxn id="7" idx="6"/>
        </xdr:cNvCxnSpPr>
      </xdr:nvCxnSpPr>
      <xdr:spPr>
        <a:xfrm flipV="1">
          <a:off x="4455542" y="1036003"/>
          <a:ext cx="486663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6</xdr:row>
      <xdr:rowOff>99442</xdr:rowOff>
    </xdr:from>
    <xdr:to>
      <xdr:col>6</xdr:col>
      <xdr:colOff>263525</xdr:colOff>
      <xdr:row>7</xdr:row>
      <xdr:rowOff>91200</xdr:rowOff>
    </xdr:to>
    <xdr:cxnSp macro="">
      <xdr:nvCxnSpPr>
        <xdr:cNvPr id="72" name="Conector recto 71">
          <a:extLst>
            <a:ext uri="{FF2B5EF4-FFF2-40B4-BE49-F238E27FC236}">
              <a16:creationId xmlns:a16="http://schemas.microsoft.com/office/drawing/2014/main" id="{D6DB48AF-219F-4B1E-B54A-99E295C9A153}"/>
            </a:ext>
          </a:extLst>
        </xdr:cNvPr>
        <xdr:cNvCxnSpPr>
          <a:stCxn id="9" idx="6"/>
          <a:endCxn id="8" idx="5"/>
        </xdr:cNvCxnSpPr>
      </xdr:nvCxnSpPr>
      <xdr:spPr>
        <a:xfrm flipH="1" flipV="1">
          <a:off x="4455542" y="1242442"/>
          <a:ext cx="486663" cy="18225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7</xdr:row>
      <xdr:rowOff>113742</xdr:rowOff>
    </xdr:from>
    <xdr:to>
      <xdr:col>6</xdr:col>
      <xdr:colOff>240983</xdr:colOff>
      <xdr:row>8</xdr:row>
      <xdr:rowOff>60960</xdr:rowOff>
    </xdr:to>
    <xdr:cxnSp macro="">
      <xdr:nvCxnSpPr>
        <xdr:cNvPr id="73" name="Conector recto 72">
          <a:extLst>
            <a:ext uri="{FF2B5EF4-FFF2-40B4-BE49-F238E27FC236}">
              <a16:creationId xmlns:a16="http://schemas.microsoft.com/office/drawing/2014/main" id="{43CBAA9B-C89F-4D7A-A340-5B388C846683}"/>
            </a:ext>
          </a:extLst>
        </xdr:cNvPr>
        <xdr:cNvCxnSpPr>
          <a:stCxn id="10" idx="0"/>
          <a:endCxn id="9" idx="4"/>
        </xdr:cNvCxnSpPr>
      </xdr:nvCxnSpPr>
      <xdr:spPr>
        <a:xfrm flipV="1">
          <a:off x="4439603" y="1447242"/>
          <a:ext cx="480060" cy="13771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8</xdr:row>
      <xdr:rowOff>83503</xdr:rowOff>
    </xdr:from>
    <xdr:to>
      <xdr:col>6</xdr:col>
      <xdr:colOff>256922</xdr:colOff>
      <xdr:row>9</xdr:row>
      <xdr:rowOff>67563</xdr:rowOff>
    </xdr:to>
    <xdr:cxnSp macro="">
      <xdr:nvCxnSpPr>
        <xdr:cNvPr id="74" name="Conector recto 73">
          <a:extLst>
            <a:ext uri="{FF2B5EF4-FFF2-40B4-BE49-F238E27FC236}">
              <a16:creationId xmlns:a16="http://schemas.microsoft.com/office/drawing/2014/main" id="{883B2B9E-CB45-4B30-B9FF-AAC6FAB0D5E2}"/>
            </a:ext>
          </a:extLst>
        </xdr:cNvPr>
        <xdr:cNvCxnSpPr>
          <a:stCxn id="11" idx="7"/>
          <a:endCxn id="10" idx="6"/>
        </xdr:cNvCxnSpPr>
      </xdr:nvCxnSpPr>
      <xdr:spPr>
        <a:xfrm flipH="1" flipV="1">
          <a:off x="4462145" y="1607503"/>
          <a:ext cx="473457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9</xdr:row>
      <xdr:rowOff>99442</xdr:rowOff>
    </xdr:from>
    <xdr:to>
      <xdr:col>6</xdr:col>
      <xdr:colOff>256922</xdr:colOff>
      <xdr:row>10</xdr:row>
      <xdr:rowOff>67563</xdr:rowOff>
    </xdr:to>
    <xdr:cxnSp macro="">
      <xdr:nvCxnSpPr>
        <xdr:cNvPr id="75" name="Conector recto 74">
          <a:extLst>
            <a:ext uri="{FF2B5EF4-FFF2-40B4-BE49-F238E27FC236}">
              <a16:creationId xmlns:a16="http://schemas.microsoft.com/office/drawing/2014/main" id="{8D59D0DA-7F2D-470A-8CEC-326DC08C9BE5}"/>
            </a:ext>
          </a:extLst>
        </xdr:cNvPr>
        <xdr:cNvCxnSpPr>
          <a:stCxn id="12" idx="7"/>
          <a:endCxn id="11" idx="5"/>
        </xdr:cNvCxnSpPr>
      </xdr:nvCxnSpPr>
      <xdr:spPr>
        <a:xfrm flipV="1">
          <a:off x="4455542" y="1813942"/>
          <a:ext cx="48006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10</xdr:row>
      <xdr:rowOff>67563</xdr:rowOff>
    </xdr:from>
    <xdr:to>
      <xdr:col>6</xdr:col>
      <xdr:colOff>240983</xdr:colOff>
      <xdr:row>11</xdr:row>
      <xdr:rowOff>60960</xdr:rowOff>
    </xdr:to>
    <xdr:cxnSp macro="">
      <xdr:nvCxnSpPr>
        <xdr:cNvPr id="76" name="Conector recto 75">
          <a:extLst>
            <a:ext uri="{FF2B5EF4-FFF2-40B4-BE49-F238E27FC236}">
              <a16:creationId xmlns:a16="http://schemas.microsoft.com/office/drawing/2014/main" id="{CDB8E72F-1EB3-4194-9261-FC90B3B9CF98}"/>
            </a:ext>
          </a:extLst>
        </xdr:cNvPr>
        <xdr:cNvCxnSpPr>
          <a:stCxn id="13" idx="0"/>
          <a:endCxn id="12" idx="6"/>
        </xdr:cNvCxnSpPr>
      </xdr:nvCxnSpPr>
      <xdr:spPr>
        <a:xfrm flipH="1" flipV="1">
          <a:off x="4455542" y="1972563"/>
          <a:ext cx="464121" cy="18389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11</xdr:row>
      <xdr:rowOff>106045</xdr:rowOff>
    </xdr:from>
    <xdr:to>
      <xdr:col>6</xdr:col>
      <xdr:colOff>240983</xdr:colOff>
      <xdr:row>12</xdr:row>
      <xdr:rowOff>99442</xdr:rowOff>
    </xdr:to>
    <xdr:cxnSp macro="">
      <xdr:nvCxnSpPr>
        <xdr:cNvPr id="77" name="Conector recto 76">
          <a:extLst>
            <a:ext uri="{FF2B5EF4-FFF2-40B4-BE49-F238E27FC236}">
              <a16:creationId xmlns:a16="http://schemas.microsoft.com/office/drawing/2014/main" id="{0F31724F-E9F8-4DAB-88C6-129390ED0735}"/>
            </a:ext>
          </a:extLst>
        </xdr:cNvPr>
        <xdr:cNvCxnSpPr>
          <a:stCxn id="14" idx="5"/>
          <a:endCxn id="13" idx="4"/>
        </xdr:cNvCxnSpPr>
      </xdr:nvCxnSpPr>
      <xdr:spPr>
        <a:xfrm flipV="1">
          <a:off x="4455542" y="2201545"/>
          <a:ext cx="464121" cy="183897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12</xdr:row>
      <xdr:rowOff>99442</xdr:rowOff>
    </xdr:from>
    <xdr:to>
      <xdr:col>6</xdr:col>
      <xdr:colOff>225043</xdr:colOff>
      <xdr:row>13</xdr:row>
      <xdr:rowOff>67563</xdr:rowOff>
    </xdr:to>
    <xdr:cxnSp macro="">
      <xdr:nvCxnSpPr>
        <xdr:cNvPr id="78" name="Conector recto 77">
          <a:extLst>
            <a:ext uri="{FF2B5EF4-FFF2-40B4-BE49-F238E27FC236}">
              <a16:creationId xmlns:a16="http://schemas.microsoft.com/office/drawing/2014/main" id="{B9191EFC-EDA0-4ED5-AA69-0C4AF1D4B589}"/>
            </a:ext>
          </a:extLst>
        </xdr:cNvPr>
        <xdr:cNvCxnSpPr>
          <a:stCxn id="15" idx="1"/>
          <a:endCxn id="14" idx="5"/>
        </xdr:cNvCxnSpPr>
      </xdr:nvCxnSpPr>
      <xdr:spPr>
        <a:xfrm flipH="1" flipV="1">
          <a:off x="4455542" y="2385442"/>
          <a:ext cx="448181" cy="158621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14</xdr:row>
      <xdr:rowOff>99513</xdr:rowOff>
    </xdr:from>
    <xdr:to>
      <xdr:col>8</xdr:col>
      <xdr:colOff>260600</xdr:colOff>
      <xdr:row>15</xdr:row>
      <xdr:rowOff>83503</xdr:rowOff>
    </xdr:to>
    <xdr:cxnSp macro="">
      <xdr:nvCxnSpPr>
        <xdr:cNvPr id="79" name="Conector recto 78">
          <a:extLst>
            <a:ext uri="{FF2B5EF4-FFF2-40B4-BE49-F238E27FC236}">
              <a16:creationId xmlns:a16="http://schemas.microsoft.com/office/drawing/2014/main" id="{6614FE17-D72A-4739-8257-966C2F410964}"/>
            </a:ext>
          </a:extLst>
        </xdr:cNvPr>
        <xdr:cNvCxnSpPr>
          <a:stCxn id="16" idx="6"/>
          <a:endCxn id="27" idx="6"/>
        </xdr:cNvCxnSpPr>
      </xdr:nvCxnSpPr>
      <xdr:spPr>
        <a:xfrm flipV="1">
          <a:off x="4942205" y="2766513"/>
          <a:ext cx="957195" cy="17449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13</xdr:row>
      <xdr:rowOff>83503</xdr:rowOff>
    </xdr:from>
    <xdr:to>
      <xdr:col>8</xdr:col>
      <xdr:colOff>253997</xdr:colOff>
      <xdr:row>14</xdr:row>
      <xdr:rowOff>115452</xdr:rowOff>
    </xdr:to>
    <xdr:cxnSp macro="">
      <xdr:nvCxnSpPr>
        <xdr:cNvPr id="80" name="Conector recto 79">
          <a:extLst>
            <a:ext uri="{FF2B5EF4-FFF2-40B4-BE49-F238E27FC236}">
              <a16:creationId xmlns:a16="http://schemas.microsoft.com/office/drawing/2014/main" id="{801CF9AD-4DCE-4B59-AB17-C3D46F149D72}"/>
            </a:ext>
          </a:extLst>
        </xdr:cNvPr>
        <xdr:cNvCxnSpPr>
          <a:stCxn id="15" idx="6"/>
          <a:endCxn id="27" idx="5"/>
        </xdr:cNvCxnSpPr>
      </xdr:nvCxnSpPr>
      <xdr:spPr>
        <a:xfrm>
          <a:off x="4942205" y="2560003"/>
          <a:ext cx="950592" cy="22244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15</xdr:row>
      <xdr:rowOff>83503</xdr:rowOff>
    </xdr:from>
    <xdr:to>
      <xdr:col>9</xdr:col>
      <xdr:colOff>253997</xdr:colOff>
      <xdr:row>16</xdr:row>
      <xdr:rowOff>107755</xdr:rowOff>
    </xdr:to>
    <xdr:cxnSp macro="">
      <xdr:nvCxnSpPr>
        <xdr:cNvPr id="81" name="Conector recto 80">
          <a:extLst>
            <a:ext uri="{FF2B5EF4-FFF2-40B4-BE49-F238E27FC236}">
              <a16:creationId xmlns:a16="http://schemas.microsoft.com/office/drawing/2014/main" id="{E2FE2DF4-D3A5-4D0B-AF7F-04A17DCCA093}"/>
            </a:ext>
          </a:extLst>
        </xdr:cNvPr>
        <xdr:cNvCxnSpPr>
          <a:stCxn id="51" idx="5"/>
          <a:endCxn id="16" idx="5"/>
        </xdr:cNvCxnSpPr>
      </xdr:nvCxnSpPr>
      <xdr:spPr>
        <a:xfrm flipH="1" flipV="1">
          <a:off x="4942205" y="2941003"/>
          <a:ext cx="1430652" cy="21475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225043</xdr:colOff>
      <xdr:row>17</xdr:row>
      <xdr:rowOff>91200</xdr:rowOff>
    </xdr:from>
    <xdr:to>
      <xdr:col>8</xdr:col>
      <xdr:colOff>218440</xdr:colOff>
      <xdr:row>18</xdr:row>
      <xdr:rowOff>99442</xdr:rowOff>
    </xdr:to>
    <xdr:cxnSp macro="">
      <xdr:nvCxnSpPr>
        <xdr:cNvPr id="82" name="Conector recto 81">
          <a:extLst>
            <a:ext uri="{FF2B5EF4-FFF2-40B4-BE49-F238E27FC236}">
              <a16:creationId xmlns:a16="http://schemas.microsoft.com/office/drawing/2014/main" id="{3EC7870E-4E3C-41AA-B645-99692290BB74}"/>
            </a:ext>
          </a:extLst>
        </xdr:cNvPr>
        <xdr:cNvCxnSpPr>
          <a:stCxn id="18" idx="3"/>
          <a:endCxn id="17" idx="2"/>
        </xdr:cNvCxnSpPr>
      </xdr:nvCxnSpPr>
      <xdr:spPr>
        <a:xfrm flipV="1">
          <a:off x="4903723" y="3329700"/>
          <a:ext cx="953517" cy="19874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18</xdr:row>
      <xdr:rowOff>99442</xdr:rowOff>
    </xdr:from>
    <xdr:to>
      <xdr:col>6</xdr:col>
      <xdr:colOff>225043</xdr:colOff>
      <xdr:row>19</xdr:row>
      <xdr:rowOff>67563</xdr:rowOff>
    </xdr:to>
    <xdr:cxnSp macro="">
      <xdr:nvCxnSpPr>
        <xdr:cNvPr id="83" name="Conector recto 82">
          <a:extLst>
            <a:ext uri="{FF2B5EF4-FFF2-40B4-BE49-F238E27FC236}">
              <a16:creationId xmlns:a16="http://schemas.microsoft.com/office/drawing/2014/main" id="{AF77AE17-68B0-49FA-A2B0-EB096AA8A20E}"/>
            </a:ext>
          </a:extLst>
        </xdr:cNvPr>
        <xdr:cNvCxnSpPr>
          <a:stCxn id="19" idx="7"/>
          <a:endCxn id="18" idx="3"/>
        </xdr:cNvCxnSpPr>
      </xdr:nvCxnSpPr>
      <xdr:spPr>
        <a:xfrm flipV="1">
          <a:off x="4455542" y="3528442"/>
          <a:ext cx="448181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19</xdr:row>
      <xdr:rowOff>106045</xdr:rowOff>
    </xdr:from>
    <xdr:to>
      <xdr:col>6</xdr:col>
      <xdr:colOff>225043</xdr:colOff>
      <xdr:row>20</xdr:row>
      <xdr:rowOff>67563</xdr:rowOff>
    </xdr:to>
    <xdr:cxnSp macro="">
      <xdr:nvCxnSpPr>
        <xdr:cNvPr id="84" name="Conector recto 83">
          <a:extLst>
            <a:ext uri="{FF2B5EF4-FFF2-40B4-BE49-F238E27FC236}">
              <a16:creationId xmlns:a16="http://schemas.microsoft.com/office/drawing/2014/main" id="{422D053C-D0BE-49E6-87B5-AF1A1E71AD6D}"/>
            </a:ext>
          </a:extLst>
        </xdr:cNvPr>
        <xdr:cNvCxnSpPr>
          <a:stCxn id="20" idx="1"/>
          <a:endCxn id="19" idx="4"/>
        </xdr:cNvCxnSpPr>
      </xdr:nvCxnSpPr>
      <xdr:spPr>
        <a:xfrm flipH="1" flipV="1">
          <a:off x="4439603" y="3725545"/>
          <a:ext cx="464120" cy="15201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21</xdr:row>
      <xdr:rowOff>67563</xdr:rowOff>
    </xdr:from>
    <xdr:to>
      <xdr:col>6</xdr:col>
      <xdr:colOff>240983</xdr:colOff>
      <xdr:row>22</xdr:row>
      <xdr:rowOff>60960</xdr:rowOff>
    </xdr:to>
    <xdr:cxnSp macro="">
      <xdr:nvCxnSpPr>
        <xdr:cNvPr id="85" name="Conector recto 84">
          <a:extLst>
            <a:ext uri="{FF2B5EF4-FFF2-40B4-BE49-F238E27FC236}">
              <a16:creationId xmlns:a16="http://schemas.microsoft.com/office/drawing/2014/main" id="{F103F015-5D8C-471A-9EB7-86DDDC257B56}"/>
            </a:ext>
          </a:extLst>
        </xdr:cNvPr>
        <xdr:cNvCxnSpPr>
          <a:cxnSpLocks/>
          <a:stCxn id="152" idx="0"/>
          <a:endCxn id="21" idx="1"/>
        </xdr:cNvCxnSpPr>
      </xdr:nvCxnSpPr>
      <xdr:spPr>
        <a:xfrm flipH="1" flipV="1">
          <a:off x="4432976" y="4156963"/>
          <a:ext cx="498540" cy="18813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20</xdr:row>
      <xdr:rowOff>99442</xdr:rowOff>
    </xdr:from>
    <xdr:to>
      <xdr:col>6</xdr:col>
      <xdr:colOff>256922</xdr:colOff>
      <xdr:row>21</xdr:row>
      <xdr:rowOff>67563</xdr:rowOff>
    </xdr:to>
    <xdr:cxnSp macro="">
      <xdr:nvCxnSpPr>
        <xdr:cNvPr id="86" name="Conector recto 85">
          <a:extLst>
            <a:ext uri="{FF2B5EF4-FFF2-40B4-BE49-F238E27FC236}">
              <a16:creationId xmlns:a16="http://schemas.microsoft.com/office/drawing/2014/main" id="{B417B940-9372-462E-8668-722675368F41}"/>
            </a:ext>
          </a:extLst>
        </xdr:cNvPr>
        <xdr:cNvCxnSpPr>
          <a:stCxn id="20" idx="5"/>
          <a:endCxn id="21" idx="7"/>
        </xdr:cNvCxnSpPr>
      </xdr:nvCxnSpPr>
      <xdr:spPr>
        <a:xfrm flipH="1">
          <a:off x="4455542" y="3909442"/>
          <a:ext cx="48006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24</xdr:row>
      <xdr:rowOff>99442</xdr:rowOff>
    </xdr:from>
    <xdr:to>
      <xdr:col>6</xdr:col>
      <xdr:colOff>225043</xdr:colOff>
      <xdr:row>25</xdr:row>
      <xdr:rowOff>99442</xdr:rowOff>
    </xdr:to>
    <xdr:cxnSp macro="">
      <xdr:nvCxnSpPr>
        <xdr:cNvPr id="92" name="Conector recto 91">
          <a:extLst>
            <a:ext uri="{FF2B5EF4-FFF2-40B4-BE49-F238E27FC236}">
              <a16:creationId xmlns:a16="http://schemas.microsoft.com/office/drawing/2014/main" id="{CA4B3533-69E0-4ECA-9710-1F386EEDB82A}"/>
            </a:ext>
          </a:extLst>
        </xdr:cNvPr>
        <xdr:cNvCxnSpPr>
          <a:stCxn id="31" idx="3"/>
          <a:endCxn id="29" idx="3"/>
        </xdr:cNvCxnSpPr>
      </xdr:nvCxnSpPr>
      <xdr:spPr>
        <a:xfrm flipV="1">
          <a:off x="4423663" y="5242942"/>
          <a:ext cx="480060" cy="190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25</xdr:row>
      <xdr:rowOff>83503</xdr:rowOff>
    </xdr:from>
    <xdr:to>
      <xdr:col>7</xdr:col>
      <xdr:colOff>252903</xdr:colOff>
      <xdr:row>26</xdr:row>
      <xdr:rowOff>84119</xdr:rowOff>
    </xdr:to>
    <xdr:cxnSp macro="">
      <xdr:nvCxnSpPr>
        <xdr:cNvPr id="93" name="Conector recto 92">
          <a:extLst>
            <a:ext uri="{FF2B5EF4-FFF2-40B4-BE49-F238E27FC236}">
              <a16:creationId xmlns:a16="http://schemas.microsoft.com/office/drawing/2014/main" id="{4B3ABFB9-2230-474C-B7D1-9ABFDDD4B68F}"/>
            </a:ext>
          </a:extLst>
        </xdr:cNvPr>
        <xdr:cNvCxnSpPr>
          <a:stCxn id="32" idx="6"/>
          <a:endCxn id="31" idx="5"/>
        </xdr:cNvCxnSpPr>
      </xdr:nvCxnSpPr>
      <xdr:spPr>
        <a:xfrm flipH="1" flipV="1">
          <a:off x="4462145" y="5417503"/>
          <a:ext cx="949498" cy="19111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260600</xdr:colOff>
      <xdr:row>30</xdr:row>
      <xdr:rowOff>99513</xdr:rowOff>
    </xdr:from>
    <xdr:to>
      <xdr:col>8</xdr:col>
      <xdr:colOff>260600</xdr:colOff>
      <xdr:row>31</xdr:row>
      <xdr:rowOff>99513</xdr:rowOff>
    </xdr:to>
    <xdr:cxnSp macro="">
      <xdr:nvCxnSpPr>
        <xdr:cNvPr id="94" name="Conector recto 93">
          <a:extLst>
            <a:ext uri="{FF2B5EF4-FFF2-40B4-BE49-F238E27FC236}">
              <a16:creationId xmlns:a16="http://schemas.microsoft.com/office/drawing/2014/main" id="{2BA2A1CE-9841-4F97-8B03-00276645F80A}"/>
            </a:ext>
          </a:extLst>
        </xdr:cNvPr>
        <xdr:cNvCxnSpPr>
          <a:stCxn id="33" idx="6"/>
          <a:endCxn id="134" idx="6"/>
        </xdr:cNvCxnSpPr>
      </xdr:nvCxnSpPr>
      <xdr:spPr>
        <a:xfrm flipH="1" flipV="1">
          <a:off x="4951133" y="5552046"/>
          <a:ext cx="965200" cy="194734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240983</xdr:colOff>
      <xdr:row>31</xdr:row>
      <xdr:rowOff>99513</xdr:rowOff>
    </xdr:from>
    <xdr:to>
      <xdr:col>8</xdr:col>
      <xdr:colOff>260600</xdr:colOff>
      <xdr:row>32</xdr:row>
      <xdr:rowOff>60960</xdr:rowOff>
    </xdr:to>
    <xdr:cxnSp macro="">
      <xdr:nvCxnSpPr>
        <xdr:cNvPr id="95" name="Conector recto 94">
          <a:extLst>
            <a:ext uri="{FF2B5EF4-FFF2-40B4-BE49-F238E27FC236}">
              <a16:creationId xmlns:a16="http://schemas.microsoft.com/office/drawing/2014/main" id="{F85B7954-9D53-41BD-AC8C-2C38E1367C2F}"/>
            </a:ext>
          </a:extLst>
        </xdr:cNvPr>
        <xdr:cNvCxnSpPr>
          <a:stCxn id="34" idx="0"/>
          <a:endCxn id="33" idx="6"/>
        </xdr:cNvCxnSpPr>
      </xdr:nvCxnSpPr>
      <xdr:spPr>
        <a:xfrm flipV="1">
          <a:off x="4919663" y="5814513"/>
          <a:ext cx="979737" cy="15194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32</xdr:row>
      <xdr:rowOff>83503</xdr:rowOff>
    </xdr:from>
    <xdr:to>
      <xdr:col>9</xdr:col>
      <xdr:colOff>253997</xdr:colOff>
      <xdr:row>33</xdr:row>
      <xdr:rowOff>75876</xdr:rowOff>
    </xdr:to>
    <xdr:cxnSp macro="">
      <xdr:nvCxnSpPr>
        <xdr:cNvPr id="96" name="Conector recto 95">
          <a:extLst>
            <a:ext uri="{FF2B5EF4-FFF2-40B4-BE49-F238E27FC236}">
              <a16:creationId xmlns:a16="http://schemas.microsoft.com/office/drawing/2014/main" id="{2CCFFBFB-B574-4670-94AD-1789543BFF87}"/>
            </a:ext>
          </a:extLst>
        </xdr:cNvPr>
        <xdr:cNvCxnSpPr>
          <a:stCxn id="50" idx="7"/>
          <a:endCxn id="34" idx="6"/>
        </xdr:cNvCxnSpPr>
      </xdr:nvCxnSpPr>
      <xdr:spPr>
        <a:xfrm flipH="1" flipV="1">
          <a:off x="4942205" y="5989003"/>
          <a:ext cx="1430652" cy="182873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33</xdr:row>
      <xdr:rowOff>91816</xdr:rowOff>
    </xdr:from>
    <xdr:to>
      <xdr:col>9</xdr:col>
      <xdr:colOff>260600</xdr:colOff>
      <xdr:row>34</xdr:row>
      <xdr:rowOff>99442</xdr:rowOff>
    </xdr:to>
    <xdr:cxnSp macro="">
      <xdr:nvCxnSpPr>
        <xdr:cNvPr id="97" name="Conector recto 96">
          <a:extLst>
            <a:ext uri="{FF2B5EF4-FFF2-40B4-BE49-F238E27FC236}">
              <a16:creationId xmlns:a16="http://schemas.microsoft.com/office/drawing/2014/main" id="{296E5478-B202-42C6-BBD3-F116F070A2DB}"/>
            </a:ext>
          </a:extLst>
        </xdr:cNvPr>
        <xdr:cNvCxnSpPr>
          <a:stCxn id="35" idx="5"/>
          <a:endCxn id="50" idx="6"/>
        </xdr:cNvCxnSpPr>
      </xdr:nvCxnSpPr>
      <xdr:spPr>
        <a:xfrm flipV="1">
          <a:off x="4935602" y="6187816"/>
          <a:ext cx="1443858" cy="19812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34</xdr:row>
      <xdr:rowOff>106045</xdr:rowOff>
    </xdr:from>
    <xdr:to>
      <xdr:col>6</xdr:col>
      <xdr:colOff>240983</xdr:colOff>
      <xdr:row>35</xdr:row>
      <xdr:rowOff>83503</xdr:rowOff>
    </xdr:to>
    <xdr:cxnSp macro="">
      <xdr:nvCxnSpPr>
        <xdr:cNvPr id="98" name="Conector recto 97">
          <a:extLst>
            <a:ext uri="{FF2B5EF4-FFF2-40B4-BE49-F238E27FC236}">
              <a16:creationId xmlns:a16="http://schemas.microsoft.com/office/drawing/2014/main" id="{B63A3331-661F-4527-9E9D-83E448A3C5E7}"/>
            </a:ext>
          </a:extLst>
        </xdr:cNvPr>
        <xdr:cNvCxnSpPr>
          <a:stCxn id="36" idx="6"/>
          <a:endCxn id="35" idx="4"/>
        </xdr:cNvCxnSpPr>
      </xdr:nvCxnSpPr>
      <xdr:spPr>
        <a:xfrm flipV="1">
          <a:off x="4462145" y="6392545"/>
          <a:ext cx="457518" cy="16795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35</xdr:row>
      <xdr:rowOff>99442</xdr:rowOff>
    </xdr:from>
    <xdr:to>
      <xdr:col>6</xdr:col>
      <xdr:colOff>263525</xdr:colOff>
      <xdr:row>36</xdr:row>
      <xdr:rowOff>83503</xdr:rowOff>
    </xdr:to>
    <xdr:cxnSp macro="">
      <xdr:nvCxnSpPr>
        <xdr:cNvPr id="99" name="Conector recto 98">
          <a:extLst>
            <a:ext uri="{FF2B5EF4-FFF2-40B4-BE49-F238E27FC236}">
              <a16:creationId xmlns:a16="http://schemas.microsoft.com/office/drawing/2014/main" id="{C38A92FB-EEB7-46DA-92F9-9A75800D5A15}"/>
            </a:ext>
          </a:extLst>
        </xdr:cNvPr>
        <xdr:cNvCxnSpPr>
          <a:stCxn id="37" idx="6"/>
          <a:endCxn id="36" idx="5"/>
        </xdr:cNvCxnSpPr>
      </xdr:nvCxnSpPr>
      <xdr:spPr>
        <a:xfrm flipH="1" flipV="1">
          <a:off x="4455542" y="6576442"/>
          <a:ext cx="486663" cy="17456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36</xdr:row>
      <xdr:rowOff>99442</xdr:rowOff>
    </xdr:from>
    <xdr:to>
      <xdr:col>6</xdr:col>
      <xdr:colOff>225043</xdr:colOff>
      <xdr:row>37</xdr:row>
      <xdr:rowOff>67563</xdr:rowOff>
    </xdr:to>
    <xdr:cxnSp macro="">
      <xdr:nvCxnSpPr>
        <xdr:cNvPr id="100" name="Conector recto 99">
          <a:extLst>
            <a:ext uri="{FF2B5EF4-FFF2-40B4-BE49-F238E27FC236}">
              <a16:creationId xmlns:a16="http://schemas.microsoft.com/office/drawing/2014/main" id="{F6196278-E4BA-4858-B13C-0FEB5318A81E}"/>
            </a:ext>
          </a:extLst>
        </xdr:cNvPr>
        <xdr:cNvCxnSpPr>
          <a:stCxn id="38" idx="1"/>
          <a:endCxn id="37" idx="3"/>
        </xdr:cNvCxnSpPr>
      </xdr:nvCxnSpPr>
      <xdr:spPr>
        <a:xfrm flipV="1">
          <a:off x="4423663" y="6766942"/>
          <a:ext cx="48006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37</xdr:row>
      <xdr:rowOff>83503</xdr:rowOff>
    </xdr:from>
    <xdr:to>
      <xdr:col>7</xdr:col>
      <xdr:colOff>252903</xdr:colOff>
      <xdr:row>38</xdr:row>
      <xdr:rowOff>84119</xdr:rowOff>
    </xdr:to>
    <xdr:cxnSp macro="">
      <xdr:nvCxnSpPr>
        <xdr:cNvPr id="101" name="Conector recto 100">
          <a:extLst>
            <a:ext uri="{FF2B5EF4-FFF2-40B4-BE49-F238E27FC236}">
              <a16:creationId xmlns:a16="http://schemas.microsoft.com/office/drawing/2014/main" id="{B44F63E4-8AE8-4ED4-93BE-9BF9AF99D04F}"/>
            </a:ext>
          </a:extLst>
        </xdr:cNvPr>
        <xdr:cNvCxnSpPr>
          <a:stCxn id="39" idx="6"/>
          <a:endCxn id="38" idx="6"/>
        </xdr:cNvCxnSpPr>
      </xdr:nvCxnSpPr>
      <xdr:spPr>
        <a:xfrm flipH="1" flipV="1">
          <a:off x="4462145" y="6941503"/>
          <a:ext cx="949498" cy="19111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38</xdr:row>
      <xdr:rowOff>100058</xdr:rowOff>
    </xdr:from>
    <xdr:to>
      <xdr:col>7</xdr:col>
      <xdr:colOff>246300</xdr:colOff>
      <xdr:row>39</xdr:row>
      <xdr:rowOff>67563</xdr:rowOff>
    </xdr:to>
    <xdr:cxnSp macro="">
      <xdr:nvCxnSpPr>
        <xdr:cNvPr id="102" name="Conector recto 101">
          <a:extLst>
            <a:ext uri="{FF2B5EF4-FFF2-40B4-BE49-F238E27FC236}">
              <a16:creationId xmlns:a16="http://schemas.microsoft.com/office/drawing/2014/main" id="{D01A9307-3CD3-4EDB-91E5-87A7F0C1BFF7}"/>
            </a:ext>
          </a:extLst>
        </xdr:cNvPr>
        <xdr:cNvCxnSpPr>
          <a:stCxn id="40" idx="7"/>
          <a:endCxn id="39" idx="5"/>
        </xdr:cNvCxnSpPr>
      </xdr:nvCxnSpPr>
      <xdr:spPr>
        <a:xfrm flipV="1">
          <a:off x="4935602" y="7148558"/>
          <a:ext cx="469438" cy="15800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39</xdr:row>
      <xdr:rowOff>106045</xdr:rowOff>
    </xdr:from>
    <xdr:to>
      <xdr:col>6</xdr:col>
      <xdr:colOff>240983</xdr:colOff>
      <xdr:row>40</xdr:row>
      <xdr:rowOff>60960</xdr:rowOff>
    </xdr:to>
    <xdr:cxnSp macro="">
      <xdr:nvCxnSpPr>
        <xdr:cNvPr id="103" name="Conector recto 102">
          <a:extLst>
            <a:ext uri="{FF2B5EF4-FFF2-40B4-BE49-F238E27FC236}">
              <a16:creationId xmlns:a16="http://schemas.microsoft.com/office/drawing/2014/main" id="{BEA7FCCF-AE0E-4928-8C93-720F6A57B52A}"/>
            </a:ext>
          </a:extLst>
        </xdr:cNvPr>
        <xdr:cNvCxnSpPr>
          <a:stCxn id="41" idx="0"/>
          <a:endCxn id="40" idx="3"/>
        </xdr:cNvCxnSpPr>
      </xdr:nvCxnSpPr>
      <xdr:spPr>
        <a:xfrm flipV="1">
          <a:off x="4439603" y="7345045"/>
          <a:ext cx="480060" cy="14541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40</xdr:row>
      <xdr:rowOff>106045</xdr:rowOff>
    </xdr:from>
    <xdr:to>
      <xdr:col>8</xdr:col>
      <xdr:colOff>260600</xdr:colOff>
      <xdr:row>41</xdr:row>
      <xdr:rowOff>99513</xdr:rowOff>
    </xdr:to>
    <xdr:cxnSp macro="">
      <xdr:nvCxnSpPr>
        <xdr:cNvPr id="104" name="Conector recto 103">
          <a:extLst>
            <a:ext uri="{FF2B5EF4-FFF2-40B4-BE49-F238E27FC236}">
              <a16:creationId xmlns:a16="http://schemas.microsoft.com/office/drawing/2014/main" id="{3697AF0E-E2F9-4DEB-B14E-7E2C6673F539}"/>
            </a:ext>
          </a:extLst>
        </xdr:cNvPr>
        <xdr:cNvCxnSpPr>
          <a:stCxn id="63" idx="6"/>
          <a:endCxn id="41" idx="4"/>
        </xdr:cNvCxnSpPr>
      </xdr:nvCxnSpPr>
      <xdr:spPr>
        <a:xfrm flipH="1" flipV="1">
          <a:off x="4439603" y="7535545"/>
          <a:ext cx="1459797" cy="18396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225043</xdr:colOff>
      <xdr:row>41</xdr:row>
      <xdr:rowOff>99513</xdr:rowOff>
    </xdr:from>
    <xdr:to>
      <xdr:col>8</xdr:col>
      <xdr:colOff>260600</xdr:colOff>
      <xdr:row>42</xdr:row>
      <xdr:rowOff>67563</xdr:rowOff>
    </xdr:to>
    <xdr:cxnSp macro="">
      <xdr:nvCxnSpPr>
        <xdr:cNvPr id="105" name="Conector recto 104">
          <a:extLst>
            <a:ext uri="{FF2B5EF4-FFF2-40B4-BE49-F238E27FC236}">
              <a16:creationId xmlns:a16="http://schemas.microsoft.com/office/drawing/2014/main" id="{E0E754A6-5B3D-4FD3-AC1F-5892B76DB482}"/>
            </a:ext>
          </a:extLst>
        </xdr:cNvPr>
        <xdr:cNvCxnSpPr>
          <a:stCxn id="42" idx="1"/>
          <a:endCxn id="63" idx="6"/>
        </xdr:cNvCxnSpPr>
      </xdr:nvCxnSpPr>
      <xdr:spPr>
        <a:xfrm flipV="1">
          <a:off x="4903723" y="7719513"/>
          <a:ext cx="995677" cy="1585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42</xdr:row>
      <xdr:rowOff>99442</xdr:rowOff>
    </xdr:from>
    <xdr:to>
      <xdr:col>9</xdr:col>
      <xdr:colOff>222118</xdr:colOff>
      <xdr:row>43</xdr:row>
      <xdr:rowOff>75876</xdr:rowOff>
    </xdr:to>
    <xdr:cxnSp macro="">
      <xdr:nvCxnSpPr>
        <xdr:cNvPr id="107" name="Conector recto 106">
          <a:extLst>
            <a:ext uri="{FF2B5EF4-FFF2-40B4-BE49-F238E27FC236}">
              <a16:creationId xmlns:a16="http://schemas.microsoft.com/office/drawing/2014/main" id="{34F21A91-D4A5-435A-97A5-32B07081CC5B}"/>
            </a:ext>
          </a:extLst>
        </xdr:cNvPr>
        <xdr:cNvCxnSpPr>
          <a:cxnSpLocks/>
          <a:stCxn id="42" idx="5"/>
          <a:endCxn id="53" idx="1"/>
        </xdr:cNvCxnSpPr>
      </xdr:nvCxnSpPr>
      <xdr:spPr>
        <a:xfrm>
          <a:off x="4947455" y="8083509"/>
          <a:ext cx="1412996" cy="17116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54</xdr:row>
      <xdr:rowOff>99513</xdr:rowOff>
    </xdr:from>
    <xdr:to>
      <xdr:col>8</xdr:col>
      <xdr:colOff>260600</xdr:colOff>
      <xdr:row>55</xdr:row>
      <xdr:rowOff>83503</xdr:rowOff>
    </xdr:to>
    <xdr:cxnSp macro="">
      <xdr:nvCxnSpPr>
        <xdr:cNvPr id="108" name="Conector recto 107">
          <a:extLst>
            <a:ext uri="{FF2B5EF4-FFF2-40B4-BE49-F238E27FC236}">
              <a16:creationId xmlns:a16="http://schemas.microsoft.com/office/drawing/2014/main" id="{B5410ED7-F26B-4C85-9771-F31B451339EF}"/>
            </a:ext>
          </a:extLst>
        </xdr:cNvPr>
        <xdr:cNvCxnSpPr>
          <a:stCxn id="62" idx="6"/>
          <a:endCxn id="68" idx="6"/>
        </xdr:cNvCxnSpPr>
      </xdr:nvCxnSpPr>
      <xdr:spPr>
        <a:xfrm flipV="1">
          <a:off x="4942205" y="12101013"/>
          <a:ext cx="957195" cy="17449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53</xdr:row>
      <xdr:rowOff>67563</xdr:rowOff>
    </xdr:from>
    <xdr:to>
      <xdr:col>8</xdr:col>
      <xdr:colOff>260600</xdr:colOff>
      <xdr:row>54</xdr:row>
      <xdr:rowOff>99513</xdr:rowOff>
    </xdr:to>
    <xdr:cxnSp macro="">
      <xdr:nvCxnSpPr>
        <xdr:cNvPr id="109" name="Conector recto 108">
          <a:extLst>
            <a:ext uri="{FF2B5EF4-FFF2-40B4-BE49-F238E27FC236}">
              <a16:creationId xmlns:a16="http://schemas.microsoft.com/office/drawing/2014/main" id="{F521D6A8-EE85-4622-A812-36F06A354825}"/>
            </a:ext>
          </a:extLst>
        </xdr:cNvPr>
        <xdr:cNvCxnSpPr>
          <a:stCxn id="61" idx="1"/>
          <a:endCxn id="68" idx="6"/>
        </xdr:cNvCxnSpPr>
      </xdr:nvCxnSpPr>
      <xdr:spPr>
        <a:xfrm>
          <a:off x="4423663" y="11878563"/>
          <a:ext cx="1475737" cy="2224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52</xdr:row>
      <xdr:rowOff>83503</xdr:rowOff>
    </xdr:from>
    <xdr:to>
      <xdr:col>6</xdr:col>
      <xdr:colOff>218440</xdr:colOff>
      <xdr:row>53</xdr:row>
      <xdr:rowOff>60960</xdr:rowOff>
    </xdr:to>
    <xdr:cxnSp macro="">
      <xdr:nvCxnSpPr>
        <xdr:cNvPr id="110" name="Conector recto 109">
          <a:extLst>
            <a:ext uri="{FF2B5EF4-FFF2-40B4-BE49-F238E27FC236}">
              <a16:creationId xmlns:a16="http://schemas.microsoft.com/office/drawing/2014/main" id="{3755835E-240F-4B21-A039-CEEEC3EE9A2A}"/>
            </a:ext>
          </a:extLst>
        </xdr:cNvPr>
        <xdr:cNvCxnSpPr>
          <a:stCxn id="60" idx="2"/>
          <a:endCxn id="61" idx="0"/>
        </xdr:cNvCxnSpPr>
      </xdr:nvCxnSpPr>
      <xdr:spPr>
        <a:xfrm flipH="1">
          <a:off x="4439603" y="11704003"/>
          <a:ext cx="457517" cy="16795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50</xdr:row>
      <xdr:rowOff>67563</xdr:rowOff>
    </xdr:from>
    <xdr:to>
      <xdr:col>8</xdr:col>
      <xdr:colOff>253997</xdr:colOff>
      <xdr:row>51</xdr:row>
      <xdr:rowOff>115452</xdr:rowOff>
    </xdr:to>
    <xdr:cxnSp macro="">
      <xdr:nvCxnSpPr>
        <xdr:cNvPr id="111" name="Conector recto 110">
          <a:extLst>
            <a:ext uri="{FF2B5EF4-FFF2-40B4-BE49-F238E27FC236}">
              <a16:creationId xmlns:a16="http://schemas.microsoft.com/office/drawing/2014/main" id="{B5983850-1470-4FF1-90F8-5AFE093399DD}"/>
            </a:ext>
          </a:extLst>
        </xdr:cNvPr>
        <xdr:cNvCxnSpPr>
          <a:stCxn id="59" idx="7"/>
          <a:endCxn id="67" idx="6"/>
        </xdr:cNvCxnSpPr>
      </xdr:nvCxnSpPr>
      <xdr:spPr>
        <a:xfrm>
          <a:off x="4455542" y="11307063"/>
          <a:ext cx="1437255" cy="23838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218440</xdr:colOff>
      <xdr:row>51</xdr:row>
      <xdr:rowOff>122055</xdr:rowOff>
    </xdr:from>
    <xdr:to>
      <xdr:col>8</xdr:col>
      <xdr:colOff>238058</xdr:colOff>
      <xdr:row>52</xdr:row>
      <xdr:rowOff>83503</xdr:rowOff>
    </xdr:to>
    <xdr:cxnSp macro="">
      <xdr:nvCxnSpPr>
        <xdr:cNvPr id="112" name="Conector recto 111">
          <a:extLst>
            <a:ext uri="{FF2B5EF4-FFF2-40B4-BE49-F238E27FC236}">
              <a16:creationId xmlns:a16="http://schemas.microsoft.com/office/drawing/2014/main" id="{609BA68E-3626-40F9-A04E-7F9C5A230747}"/>
            </a:ext>
          </a:extLst>
        </xdr:cNvPr>
        <xdr:cNvCxnSpPr>
          <a:stCxn id="60" idx="2"/>
          <a:endCxn id="67" idx="5"/>
        </xdr:cNvCxnSpPr>
      </xdr:nvCxnSpPr>
      <xdr:spPr>
        <a:xfrm flipV="1">
          <a:off x="4897120" y="11552055"/>
          <a:ext cx="979738" cy="15194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49</xdr:row>
      <xdr:rowOff>83503</xdr:rowOff>
    </xdr:from>
    <xdr:to>
      <xdr:col>6</xdr:col>
      <xdr:colOff>218440</xdr:colOff>
      <xdr:row>50</xdr:row>
      <xdr:rowOff>60960</xdr:rowOff>
    </xdr:to>
    <xdr:cxnSp macro="">
      <xdr:nvCxnSpPr>
        <xdr:cNvPr id="113" name="Conector recto 112">
          <a:extLst>
            <a:ext uri="{FF2B5EF4-FFF2-40B4-BE49-F238E27FC236}">
              <a16:creationId xmlns:a16="http://schemas.microsoft.com/office/drawing/2014/main" id="{473D33B9-322C-468F-B078-8640368D221E}"/>
            </a:ext>
          </a:extLst>
        </xdr:cNvPr>
        <xdr:cNvCxnSpPr>
          <a:stCxn id="59" idx="0"/>
          <a:endCxn id="58" idx="6"/>
        </xdr:cNvCxnSpPr>
      </xdr:nvCxnSpPr>
      <xdr:spPr>
        <a:xfrm flipV="1">
          <a:off x="4439603" y="11132503"/>
          <a:ext cx="457517" cy="16795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48</xdr:row>
      <xdr:rowOff>67563</xdr:rowOff>
    </xdr:from>
    <xdr:to>
      <xdr:col>6</xdr:col>
      <xdr:colOff>263525</xdr:colOff>
      <xdr:row>49</xdr:row>
      <xdr:rowOff>83503</xdr:rowOff>
    </xdr:to>
    <xdr:cxnSp macro="">
      <xdr:nvCxnSpPr>
        <xdr:cNvPr id="114" name="Conector recto 113">
          <a:extLst>
            <a:ext uri="{FF2B5EF4-FFF2-40B4-BE49-F238E27FC236}">
              <a16:creationId xmlns:a16="http://schemas.microsoft.com/office/drawing/2014/main" id="{59A1C238-DCB2-42ED-8AF6-D803ACF84ED7}"/>
            </a:ext>
          </a:extLst>
        </xdr:cNvPr>
        <xdr:cNvCxnSpPr>
          <a:stCxn id="57" idx="7"/>
          <a:endCxn id="58" idx="2"/>
        </xdr:cNvCxnSpPr>
      </xdr:nvCxnSpPr>
      <xdr:spPr>
        <a:xfrm>
          <a:off x="4455542" y="10926063"/>
          <a:ext cx="486663" cy="20644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47</xdr:row>
      <xdr:rowOff>83503</xdr:rowOff>
    </xdr:from>
    <xdr:to>
      <xdr:col>6</xdr:col>
      <xdr:colOff>263525</xdr:colOff>
      <xdr:row>48</xdr:row>
      <xdr:rowOff>67563</xdr:rowOff>
    </xdr:to>
    <xdr:cxnSp macro="">
      <xdr:nvCxnSpPr>
        <xdr:cNvPr id="115" name="Conector recto 114">
          <a:extLst>
            <a:ext uri="{FF2B5EF4-FFF2-40B4-BE49-F238E27FC236}">
              <a16:creationId xmlns:a16="http://schemas.microsoft.com/office/drawing/2014/main" id="{CB572098-E196-41D3-B895-7C45E48494FD}"/>
            </a:ext>
          </a:extLst>
        </xdr:cNvPr>
        <xdr:cNvCxnSpPr>
          <a:stCxn id="56" idx="6"/>
          <a:endCxn id="57" idx="1"/>
        </xdr:cNvCxnSpPr>
      </xdr:nvCxnSpPr>
      <xdr:spPr>
        <a:xfrm flipH="1">
          <a:off x="4455542" y="10751503"/>
          <a:ext cx="486663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45</xdr:row>
      <xdr:rowOff>83503</xdr:rowOff>
    </xdr:from>
    <xdr:to>
      <xdr:col>6</xdr:col>
      <xdr:colOff>263525</xdr:colOff>
      <xdr:row>46</xdr:row>
      <xdr:rowOff>67563</xdr:rowOff>
    </xdr:to>
    <xdr:cxnSp macro="">
      <xdr:nvCxnSpPr>
        <xdr:cNvPr id="116" name="Conector recto 115">
          <a:extLst>
            <a:ext uri="{FF2B5EF4-FFF2-40B4-BE49-F238E27FC236}">
              <a16:creationId xmlns:a16="http://schemas.microsoft.com/office/drawing/2014/main" id="{CB46DDF3-6325-4710-8C75-1B386ED15CEF}"/>
            </a:ext>
          </a:extLst>
        </xdr:cNvPr>
        <xdr:cNvCxnSpPr>
          <a:stCxn id="55" idx="1"/>
          <a:endCxn id="54" idx="5"/>
        </xdr:cNvCxnSpPr>
      </xdr:nvCxnSpPr>
      <xdr:spPr>
        <a:xfrm flipV="1">
          <a:off x="4423663" y="10370503"/>
          <a:ext cx="518542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46</xdr:row>
      <xdr:rowOff>83503</xdr:rowOff>
    </xdr:from>
    <xdr:to>
      <xdr:col>6</xdr:col>
      <xdr:colOff>263525</xdr:colOff>
      <xdr:row>47</xdr:row>
      <xdr:rowOff>83503</xdr:rowOff>
    </xdr:to>
    <xdr:cxnSp macro="">
      <xdr:nvCxnSpPr>
        <xdr:cNvPr id="117" name="Conector recto 116">
          <a:extLst>
            <a:ext uri="{FF2B5EF4-FFF2-40B4-BE49-F238E27FC236}">
              <a16:creationId xmlns:a16="http://schemas.microsoft.com/office/drawing/2014/main" id="{AAEFF610-8BCC-4843-B399-3A7B2FBB2D1F}"/>
            </a:ext>
          </a:extLst>
        </xdr:cNvPr>
        <xdr:cNvCxnSpPr>
          <a:stCxn id="56" idx="6"/>
          <a:endCxn id="55" idx="1"/>
        </xdr:cNvCxnSpPr>
      </xdr:nvCxnSpPr>
      <xdr:spPr>
        <a:xfrm flipH="1" flipV="1">
          <a:off x="4462145" y="10561003"/>
          <a:ext cx="480060" cy="190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222118</xdr:colOff>
      <xdr:row>43</xdr:row>
      <xdr:rowOff>114358</xdr:rowOff>
    </xdr:from>
    <xdr:to>
      <xdr:col>9</xdr:col>
      <xdr:colOff>238058</xdr:colOff>
      <xdr:row>44</xdr:row>
      <xdr:rowOff>83573</xdr:rowOff>
    </xdr:to>
    <xdr:cxnSp macro="">
      <xdr:nvCxnSpPr>
        <xdr:cNvPr id="118" name="Conector recto 117">
          <a:extLst>
            <a:ext uri="{FF2B5EF4-FFF2-40B4-BE49-F238E27FC236}">
              <a16:creationId xmlns:a16="http://schemas.microsoft.com/office/drawing/2014/main" id="{716009D0-03C5-49E3-9EA7-D70B7DA4C352}"/>
            </a:ext>
          </a:extLst>
        </xdr:cNvPr>
        <xdr:cNvCxnSpPr>
          <a:stCxn id="53" idx="4"/>
          <a:endCxn id="66" idx="1"/>
        </xdr:cNvCxnSpPr>
      </xdr:nvCxnSpPr>
      <xdr:spPr>
        <a:xfrm flipH="1">
          <a:off x="5860918" y="10020358"/>
          <a:ext cx="496000" cy="15971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44</xdr:row>
      <xdr:rowOff>115452</xdr:rowOff>
    </xdr:from>
    <xdr:to>
      <xdr:col>8</xdr:col>
      <xdr:colOff>222118</xdr:colOff>
      <xdr:row>45</xdr:row>
      <xdr:rowOff>67563</xdr:rowOff>
    </xdr:to>
    <xdr:cxnSp macro="">
      <xdr:nvCxnSpPr>
        <xdr:cNvPr id="119" name="Conector recto 118">
          <a:extLst>
            <a:ext uri="{FF2B5EF4-FFF2-40B4-BE49-F238E27FC236}">
              <a16:creationId xmlns:a16="http://schemas.microsoft.com/office/drawing/2014/main" id="{753E2C1F-9288-4E80-8FDA-9AFC7797F04F}"/>
            </a:ext>
          </a:extLst>
        </xdr:cNvPr>
        <xdr:cNvCxnSpPr>
          <a:stCxn id="54" idx="7"/>
          <a:endCxn id="66" idx="3"/>
        </xdr:cNvCxnSpPr>
      </xdr:nvCxnSpPr>
      <xdr:spPr>
        <a:xfrm flipV="1">
          <a:off x="4935602" y="10211952"/>
          <a:ext cx="925316" cy="14261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263525</xdr:colOff>
      <xdr:row>16</xdr:row>
      <xdr:rowOff>107755</xdr:rowOff>
    </xdr:from>
    <xdr:to>
      <xdr:col>9</xdr:col>
      <xdr:colOff>222118</xdr:colOff>
      <xdr:row>17</xdr:row>
      <xdr:rowOff>91200</xdr:rowOff>
    </xdr:to>
    <xdr:cxnSp macro="">
      <xdr:nvCxnSpPr>
        <xdr:cNvPr id="129" name="Conector recto 128">
          <a:extLst>
            <a:ext uri="{FF2B5EF4-FFF2-40B4-BE49-F238E27FC236}">
              <a16:creationId xmlns:a16="http://schemas.microsoft.com/office/drawing/2014/main" id="{891AA7D4-6484-452F-8DA3-DDB96190DF74}"/>
            </a:ext>
          </a:extLst>
        </xdr:cNvPr>
        <xdr:cNvCxnSpPr>
          <a:stCxn id="17" idx="6"/>
          <a:endCxn id="51" idx="3"/>
        </xdr:cNvCxnSpPr>
      </xdr:nvCxnSpPr>
      <xdr:spPr>
        <a:xfrm flipV="1">
          <a:off x="5919258" y="3223488"/>
          <a:ext cx="441193" cy="17817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215515</xdr:colOff>
      <xdr:row>27</xdr:row>
      <xdr:rowOff>76970</xdr:rowOff>
    </xdr:from>
    <xdr:to>
      <xdr:col>8</xdr:col>
      <xdr:colOff>260600</xdr:colOff>
      <xdr:row>27</xdr:row>
      <xdr:rowOff>122055</xdr:rowOff>
    </xdr:to>
    <xdr:sp macro="" textlink="">
      <xdr:nvSpPr>
        <xdr:cNvPr id="132" name="Elipse 131">
          <a:extLst>
            <a:ext uri="{FF2B5EF4-FFF2-40B4-BE49-F238E27FC236}">
              <a16:creationId xmlns:a16="http://schemas.microsoft.com/office/drawing/2014/main" id="{7A6976C7-60CB-4EFF-87EE-B1DF813002F3}"/>
            </a:ext>
          </a:extLst>
        </xdr:cNvPr>
        <xdr:cNvSpPr/>
      </xdr:nvSpPr>
      <xdr:spPr>
        <a:xfrm>
          <a:off x="5871248" y="572423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215515</xdr:colOff>
      <xdr:row>28</xdr:row>
      <xdr:rowOff>76970</xdr:rowOff>
    </xdr:from>
    <xdr:to>
      <xdr:col>6</xdr:col>
      <xdr:colOff>260600</xdr:colOff>
      <xdr:row>28</xdr:row>
      <xdr:rowOff>122055</xdr:rowOff>
    </xdr:to>
    <xdr:sp macro="" textlink="">
      <xdr:nvSpPr>
        <xdr:cNvPr id="133" name="Elipse 132">
          <a:extLst>
            <a:ext uri="{FF2B5EF4-FFF2-40B4-BE49-F238E27FC236}">
              <a16:creationId xmlns:a16="http://schemas.microsoft.com/office/drawing/2014/main" id="{BCDFA995-D9DC-46C2-986A-46369F981946}"/>
            </a:ext>
          </a:extLst>
        </xdr:cNvPr>
        <xdr:cNvSpPr/>
      </xdr:nvSpPr>
      <xdr:spPr>
        <a:xfrm>
          <a:off x="5871248" y="572423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215515</xdr:colOff>
      <xdr:row>30</xdr:row>
      <xdr:rowOff>76970</xdr:rowOff>
    </xdr:from>
    <xdr:to>
      <xdr:col>6</xdr:col>
      <xdr:colOff>260600</xdr:colOff>
      <xdr:row>30</xdr:row>
      <xdr:rowOff>122055</xdr:rowOff>
    </xdr:to>
    <xdr:sp macro="" textlink="">
      <xdr:nvSpPr>
        <xdr:cNvPr id="134" name="Elipse 133">
          <a:extLst>
            <a:ext uri="{FF2B5EF4-FFF2-40B4-BE49-F238E27FC236}">
              <a16:creationId xmlns:a16="http://schemas.microsoft.com/office/drawing/2014/main" id="{E309C020-D678-4C1A-BAF0-22557ABDE0BE}"/>
            </a:ext>
          </a:extLst>
        </xdr:cNvPr>
        <xdr:cNvSpPr/>
      </xdr:nvSpPr>
      <xdr:spPr>
        <a:xfrm>
          <a:off x="5871248" y="572423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215515</xdr:colOff>
      <xdr:row>29</xdr:row>
      <xdr:rowOff>76970</xdr:rowOff>
    </xdr:from>
    <xdr:to>
      <xdr:col>5</xdr:col>
      <xdr:colOff>260600</xdr:colOff>
      <xdr:row>29</xdr:row>
      <xdr:rowOff>122055</xdr:rowOff>
    </xdr:to>
    <xdr:sp macro="" textlink="">
      <xdr:nvSpPr>
        <xdr:cNvPr id="135" name="Elipse 134">
          <a:extLst>
            <a:ext uri="{FF2B5EF4-FFF2-40B4-BE49-F238E27FC236}">
              <a16:creationId xmlns:a16="http://schemas.microsoft.com/office/drawing/2014/main" id="{99B65F82-F805-4A63-B224-3DA3CA070C57}"/>
            </a:ext>
          </a:extLst>
        </xdr:cNvPr>
        <xdr:cNvSpPr/>
      </xdr:nvSpPr>
      <xdr:spPr>
        <a:xfrm>
          <a:off x="5871248" y="572423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238058</xdr:colOff>
      <xdr:row>29</xdr:row>
      <xdr:rowOff>76970</xdr:rowOff>
    </xdr:from>
    <xdr:to>
      <xdr:col>6</xdr:col>
      <xdr:colOff>222118</xdr:colOff>
      <xdr:row>30</xdr:row>
      <xdr:rowOff>83573</xdr:rowOff>
    </xdr:to>
    <xdr:cxnSp macro="">
      <xdr:nvCxnSpPr>
        <xdr:cNvPr id="139" name="Conector recto 138">
          <a:extLst>
            <a:ext uri="{FF2B5EF4-FFF2-40B4-BE49-F238E27FC236}">
              <a16:creationId xmlns:a16="http://schemas.microsoft.com/office/drawing/2014/main" id="{7E3EF50A-7641-DCF1-6B00-95B468A03130}"/>
            </a:ext>
          </a:extLst>
        </xdr:cNvPr>
        <xdr:cNvCxnSpPr>
          <a:stCxn id="135" idx="0"/>
          <a:endCxn id="134" idx="7"/>
        </xdr:cNvCxnSpPr>
      </xdr:nvCxnSpPr>
      <xdr:spPr>
        <a:xfrm>
          <a:off x="4445991" y="5334770"/>
          <a:ext cx="466660" cy="20133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222118</xdr:colOff>
      <xdr:row>28</xdr:row>
      <xdr:rowOff>99513</xdr:rowOff>
    </xdr:from>
    <xdr:to>
      <xdr:col>6</xdr:col>
      <xdr:colOff>260600</xdr:colOff>
      <xdr:row>29</xdr:row>
      <xdr:rowOff>83573</xdr:rowOff>
    </xdr:to>
    <xdr:cxnSp macro="">
      <xdr:nvCxnSpPr>
        <xdr:cNvPr id="141" name="Conector recto 140">
          <a:extLst>
            <a:ext uri="{FF2B5EF4-FFF2-40B4-BE49-F238E27FC236}">
              <a16:creationId xmlns:a16="http://schemas.microsoft.com/office/drawing/2014/main" id="{F87C95A5-9B9B-D013-B5A3-8094CB47E66F}"/>
            </a:ext>
          </a:extLst>
        </xdr:cNvPr>
        <xdr:cNvCxnSpPr>
          <a:stCxn id="133" idx="6"/>
          <a:endCxn id="135" idx="1"/>
        </xdr:cNvCxnSpPr>
      </xdr:nvCxnSpPr>
      <xdr:spPr>
        <a:xfrm flipH="1">
          <a:off x="4430051" y="5162580"/>
          <a:ext cx="521082" cy="178793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253997</xdr:colOff>
      <xdr:row>27</xdr:row>
      <xdr:rowOff>115452</xdr:rowOff>
    </xdr:from>
    <xdr:to>
      <xdr:col>8</xdr:col>
      <xdr:colOff>253997</xdr:colOff>
      <xdr:row>28</xdr:row>
      <xdr:rowOff>83573</xdr:rowOff>
    </xdr:to>
    <xdr:cxnSp macro="">
      <xdr:nvCxnSpPr>
        <xdr:cNvPr id="144" name="Conector recto 143">
          <a:extLst>
            <a:ext uri="{FF2B5EF4-FFF2-40B4-BE49-F238E27FC236}">
              <a16:creationId xmlns:a16="http://schemas.microsoft.com/office/drawing/2014/main" id="{A969DA73-5ED1-D9AB-8DD9-977751926A3C}"/>
            </a:ext>
          </a:extLst>
        </xdr:cNvPr>
        <xdr:cNvCxnSpPr>
          <a:stCxn id="132" idx="5"/>
          <a:endCxn id="133" idx="7"/>
        </xdr:cNvCxnSpPr>
      </xdr:nvCxnSpPr>
      <xdr:spPr>
        <a:xfrm flipH="1">
          <a:off x="4944530" y="4983785"/>
          <a:ext cx="965200" cy="16285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246300</xdr:colOff>
      <xdr:row>26</xdr:row>
      <xdr:rowOff>100058</xdr:rowOff>
    </xdr:from>
    <xdr:to>
      <xdr:col>8</xdr:col>
      <xdr:colOff>253997</xdr:colOff>
      <xdr:row>27</xdr:row>
      <xdr:rowOff>83573</xdr:rowOff>
    </xdr:to>
    <xdr:cxnSp macro="">
      <xdr:nvCxnSpPr>
        <xdr:cNvPr id="146" name="Conector recto 145">
          <a:extLst>
            <a:ext uri="{FF2B5EF4-FFF2-40B4-BE49-F238E27FC236}">
              <a16:creationId xmlns:a16="http://schemas.microsoft.com/office/drawing/2014/main" id="{05B44C53-0436-0B4C-1EC5-C04683E3F233}"/>
            </a:ext>
          </a:extLst>
        </xdr:cNvPr>
        <xdr:cNvCxnSpPr>
          <a:stCxn id="32" idx="5"/>
          <a:endCxn id="132" idx="7"/>
        </xdr:cNvCxnSpPr>
      </xdr:nvCxnSpPr>
      <xdr:spPr>
        <a:xfrm>
          <a:off x="5419433" y="4773658"/>
          <a:ext cx="490297" cy="17824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218440</xdr:colOff>
      <xdr:row>22</xdr:row>
      <xdr:rowOff>60960</xdr:rowOff>
    </xdr:from>
    <xdr:to>
      <xdr:col>6</xdr:col>
      <xdr:colOff>263525</xdr:colOff>
      <xdr:row>22</xdr:row>
      <xdr:rowOff>106045</xdr:rowOff>
    </xdr:to>
    <xdr:sp macro="" textlink="">
      <xdr:nvSpPr>
        <xdr:cNvPr id="152" name="Elipse 151">
          <a:extLst>
            <a:ext uri="{FF2B5EF4-FFF2-40B4-BE49-F238E27FC236}">
              <a16:creationId xmlns:a16="http://schemas.microsoft.com/office/drawing/2014/main" id="{70A49A47-F291-4615-A8D9-F8C355761A37}"/>
            </a:ext>
          </a:extLst>
        </xdr:cNvPr>
        <xdr:cNvSpPr/>
      </xdr:nvSpPr>
      <xdr:spPr>
        <a:xfrm>
          <a:off x="4908973" y="47345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225043</xdr:colOff>
      <xdr:row>22</xdr:row>
      <xdr:rowOff>99442</xdr:rowOff>
    </xdr:from>
    <xdr:to>
      <xdr:col>6</xdr:col>
      <xdr:colOff>225043</xdr:colOff>
      <xdr:row>23</xdr:row>
      <xdr:rowOff>99442</xdr:rowOff>
    </xdr:to>
    <xdr:cxnSp macro="">
      <xdr:nvCxnSpPr>
        <xdr:cNvPr id="153" name="Conector recto 152">
          <a:extLst>
            <a:ext uri="{FF2B5EF4-FFF2-40B4-BE49-F238E27FC236}">
              <a16:creationId xmlns:a16="http://schemas.microsoft.com/office/drawing/2014/main" id="{A06F6C94-F577-447D-82A3-4A126FD879A2}"/>
            </a:ext>
          </a:extLst>
        </xdr:cNvPr>
        <xdr:cNvCxnSpPr>
          <a:endCxn id="152" idx="3"/>
        </xdr:cNvCxnSpPr>
      </xdr:nvCxnSpPr>
      <xdr:spPr>
        <a:xfrm flipV="1">
          <a:off x="4432976" y="4773042"/>
          <a:ext cx="482600" cy="194733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218440</xdr:colOff>
      <xdr:row>23</xdr:row>
      <xdr:rowOff>60960</xdr:rowOff>
    </xdr:from>
    <xdr:to>
      <xdr:col>5</xdr:col>
      <xdr:colOff>263525</xdr:colOff>
      <xdr:row>23</xdr:row>
      <xdr:rowOff>106045</xdr:rowOff>
    </xdr:to>
    <xdr:sp macro="" textlink="">
      <xdr:nvSpPr>
        <xdr:cNvPr id="154" name="Elipse 153">
          <a:extLst>
            <a:ext uri="{FF2B5EF4-FFF2-40B4-BE49-F238E27FC236}">
              <a16:creationId xmlns:a16="http://schemas.microsoft.com/office/drawing/2014/main" id="{E5BD9D7C-5773-4589-969E-36B1590FF07E}"/>
            </a:ext>
          </a:extLst>
        </xdr:cNvPr>
        <xdr:cNvSpPr/>
      </xdr:nvSpPr>
      <xdr:spPr>
        <a:xfrm>
          <a:off x="4908973" y="47345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225043</xdr:colOff>
      <xdr:row>23</xdr:row>
      <xdr:rowOff>99442</xdr:rowOff>
    </xdr:from>
    <xdr:to>
      <xdr:col>6</xdr:col>
      <xdr:colOff>256922</xdr:colOff>
      <xdr:row>24</xdr:row>
      <xdr:rowOff>67563</xdr:rowOff>
    </xdr:to>
    <xdr:cxnSp macro="">
      <xdr:nvCxnSpPr>
        <xdr:cNvPr id="155" name="Conector recto 154">
          <a:extLst>
            <a:ext uri="{FF2B5EF4-FFF2-40B4-BE49-F238E27FC236}">
              <a16:creationId xmlns:a16="http://schemas.microsoft.com/office/drawing/2014/main" id="{9D2058CE-8AEE-40B1-A76B-F19A6DAB9C06}"/>
            </a:ext>
          </a:extLst>
        </xdr:cNvPr>
        <xdr:cNvCxnSpPr>
          <a:stCxn id="29" idx="7"/>
          <a:endCxn id="154" idx="3"/>
        </xdr:cNvCxnSpPr>
      </xdr:nvCxnSpPr>
      <xdr:spPr>
        <a:xfrm flipH="1" flipV="1">
          <a:off x="4432976" y="4578309"/>
          <a:ext cx="514479" cy="162854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198966</xdr:colOff>
      <xdr:row>2</xdr:row>
      <xdr:rowOff>45797</xdr:rowOff>
    </xdr:from>
    <xdr:to>
      <xdr:col>5</xdr:col>
      <xdr:colOff>289771</xdr:colOff>
      <xdr:row>2</xdr:row>
      <xdr:rowOff>138507</xdr:rowOff>
    </xdr:to>
    <xdr:sp macro="" textlink="">
      <xdr:nvSpPr>
        <xdr:cNvPr id="131" name="Elipse 130">
          <a:extLst>
            <a:ext uri="{FF2B5EF4-FFF2-40B4-BE49-F238E27FC236}">
              <a16:creationId xmlns:a16="http://schemas.microsoft.com/office/drawing/2014/main" id="{E9D1514E-F30E-4F91-9F89-92F0185073CD}"/>
            </a:ext>
          </a:extLst>
        </xdr:cNvPr>
        <xdr:cNvSpPr/>
      </xdr:nvSpPr>
      <xdr:spPr>
        <a:xfrm>
          <a:off x="3885814" y="430645"/>
          <a:ext cx="90805" cy="92710"/>
        </a:xfrm>
        <a:prstGeom prst="ellipse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196273</xdr:colOff>
      <xdr:row>2</xdr:row>
      <xdr:rowOff>58497</xdr:rowOff>
    </xdr:from>
    <xdr:to>
      <xdr:col>8</xdr:col>
      <xdr:colOff>276283</xdr:colOff>
      <xdr:row>2</xdr:row>
      <xdr:rowOff>133427</xdr:rowOff>
    </xdr:to>
    <xdr:sp macro="" textlink="">
      <xdr:nvSpPr>
        <xdr:cNvPr id="132" name="Diagrama de flujo: proceso alternativo 131">
          <a:extLst>
            <a:ext uri="{FF2B5EF4-FFF2-40B4-BE49-F238E27FC236}">
              <a16:creationId xmlns:a16="http://schemas.microsoft.com/office/drawing/2014/main" id="{68A1DE3A-956A-4BBF-ACFA-9FCE5C67F887}"/>
            </a:ext>
          </a:extLst>
        </xdr:cNvPr>
        <xdr:cNvSpPr/>
      </xdr:nvSpPr>
      <xdr:spPr>
        <a:xfrm>
          <a:off x="5830455" y="443345"/>
          <a:ext cx="80010" cy="74930"/>
        </a:xfrm>
        <a:prstGeom prst="flowChartAlternateProcess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202638</xdr:colOff>
      <xdr:row>2</xdr:row>
      <xdr:rowOff>43607</xdr:rowOff>
    </xdr:from>
    <xdr:to>
      <xdr:col>9</xdr:col>
      <xdr:colOff>270583</xdr:colOff>
      <xdr:row>2</xdr:row>
      <xdr:rowOff>115362</xdr:rowOff>
    </xdr:to>
    <xdr:sp macro="" textlink="">
      <xdr:nvSpPr>
        <xdr:cNvPr id="133" name="Diagrama de flujo: combinar 132">
          <a:extLst>
            <a:ext uri="{FF2B5EF4-FFF2-40B4-BE49-F238E27FC236}">
              <a16:creationId xmlns:a16="http://schemas.microsoft.com/office/drawing/2014/main" id="{0096E979-A1C0-4A03-98DF-1445F6050EC4}"/>
            </a:ext>
          </a:extLst>
        </xdr:cNvPr>
        <xdr:cNvSpPr/>
      </xdr:nvSpPr>
      <xdr:spPr>
        <a:xfrm>
          <a:off x="6322084" y="430469"/>
          <a:ext cx="67945" cy="71755"/>
        </a:xfrm>
        <a:prstGeom prst="flowChartMerge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188961</xdr:colOff>
      <xdr:row>2</xdr:row>
      <xdr:rowOff>58497</xdr:rowOff>
    </xdr:from>
    <xdr:to>
      <xdr:col>7</xdr:col>
      <xdr:colOff>286116</xdr:colOff>
      <xdr:row>2</xdr:row>
      <xdr:rowOff>138507</xdr:rowOff>
    </xdr:to>
    <xdr:sp macro="" textlink="">
      <xdr:nvSpPr>
        <xdr:cNvPr id="134" name="Diagrama de flujo: retraso 133">
          <a:extLst>
            <a:ext uri="{FF2B5EF4-FFF2-40B4-BE49-F238E27FC236}">
              <a16:creationId xmlns:a16="http://schemas.microsoft.com/office/drawing/2014/main" id="{5D8B0E05-F0E3-43DE-A442-B3E5C6A9325D}"/>
            </a:ext>
          </a:extLst>
        </xdr:cNvPr>
        <xdr:cNvSpPr/>
      </xdr:nvSpPr>
      <xdr:spPr>
        <a:xfrm>
          <a:off x="4830234" y="443345"/>
          <a:ext cx="97155" cy="80010"/>
        </a:xfrm>
        <a:prstGeom prst="flowChartDelay">
          <a:avLst/>
        </a:prstGeom>
        <a:ln>
          <a:solidFill>
            <a:schemeClr val="tx2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221673</xdr:colOff>
      <xdr:row>2</xdr:row>
      <xdr:rowOff>61191</xdr:rowOff>
    </xdr:from>
    <xdr:to>
      <xdr:col>6</xdr:col>
      <xdr:colOff>301683</xdr:colOff>
      <xdr:row>2</xdr:row>
      <xdr:rowOff>132311</xdr:rowOff>
    </xdr:to>
    <xdr:sp macro="" textlink="">
      <xdr:nvSpPr>
        <xdr:cNvPr id="135" name="Flecha: a la derecha 134">
          <a:extLst>
            <a:ext uri="{FF2B5EF4-FFF2-40B4-BE49-F238E27FC236}">
              <a16:creationId xmlns:a16="http://schemas.microsoft.com/office/drawing/2014/main" id="{150386AF-DE89-489B-AC57-C59E83C75D02}"/>
            </a:ext>
          </a:extLst>
        </xdr:cNvPr>
        <xdr:cNvSpPr/>
      </xdr:nvSpPr>
      <xdr:spPr>
        <a:xfrm>
          <a:off x="4385734" y="446039"/>
          <a:ext cx="80010" cy="7112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</xdr:row>
      <xdr:rowOff>60960</xdr:rowOff>
    </xdr:from>
    <xdr:to>
      <xdr:col>6</xdr:col>
      <xdr:colOff>263525</xdr:colOff>
      <xdr:row>5</xdr:row>
      <xdr:rowOff>106045</xdr:rowOff>
    </xdr:to>
    <xdr:sp macro="" textlink="">
      <xdr:nvSpPr>
        <xdr:cNvPr id="139" name="Elipse 138">
          <a:extLst>
            <a:ext uri="{FF2B5EF4-FFF2-40B4-BE49-F238E27FC236}">
              <a16:creationId xmlns:a16="http://schemas.microsoft.com/office/drawing/2014/main" id="{97F718CF-24E4-41E5-80AE-5BDD93D054F7}"/>
            </a:ext>
          </a:extLst>
        </xdr:cNvPr>
        <xdr:cNvSpPr/>
      </xdr:nvSpPr>
      <xdr:spPr>
        <a:xfrm>
          <a:off x="4902200" y="10261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6</xdr:row>
      <xdr:rowOff>60960</xdr:rowOff>
    </xdr:from>
    <xdr:to>
      <xdr:col>5</xdr:col>
      <xdr:colOff>263525</xdr:colOff>
      <xdr:row>6</xdr:row>
      <xdr:rowOff>106045</xdr:rowOff>
    </xdr:to>
    <xdr:sp macro="" textlink="">
      <xdr:nvSpPr>
        <xdr:cNvPr id="140" name="Elipse 139">
          <a:extLst>
            <a:ext uri="{FF2B5EF4-FFF2-40B4-BE49-F238E27FC236}">
              <a16:creationId xmlns:a16="http://schemas.microsoft.com/office/drawing/2014/main" id="{8038188B-A922-4A6B-BEE0-532E82B140D1}"/>
            </a:ext>
          </a:extLst>
        </xdr:cNvPr>
        <xdr:cNvSpPr/>
      </xdr:nvSpPr>
      <xdr:spPr>
        <a:xfrm>
          <a:off x="4419600" y="121920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7</xdr:row>
      <xdr:rowOff>68657</xdr:rowOff>
    </xdr:from>
    <xdr:to>
      <xdr:col>6</xdr:col>
      <xdr:colOff>263525</xdr:colOff>
      <xdr:row>7</xdr:row>
      <xdr:rowOff>113742</xdr:rowOff>
    </xdr:to>
    <xdr:sp macro="" textlink="">
      <xdr:nvSpPr>
        <xdr:cNvPr id="141" name="Elipse 140">
          <a:extLst>
            <a:ext uri="{FF2B5EF4-FFF2-40B4-BE49-F238E27FC236}">
              <a16:creationId xmlns:a16="http://schemas.microsoft.com/office/drawing/2014/main" id="{BB65D98A-E01B-4A22-979A-3A8F6BB2E92C}"/>
            </a:ext>
          </a:extLst>
        </xdr:cNvPr>
        <xdr:cNvSpPr/>
      </xdr:nvSpPr>
      <xdr:spPr>
        <a:xfrm>
          <a:off x="4902200" y="141993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8</xdr:row>
      <xdr:rowOff>60960</xdr:rowOff>
    </xdr:from>
    <xdr:to>
      <xdr:col>5</xdr:col>
      <xdr:colOff>263525</xdr:colOff>
      <xdr:row>8</xdr:row>
      <xdr:rowOff>106045</xdr:rowOff>
    </xdr:to>
    <xdr:sp macro="" textlink="">
      <xdr:nvSpPr>
        <xdr:cNvPr id="142" name="Elipse 141">
          <a:extLst>
            <a:ext uri="{FF2B5EF4-FFF2-40B4-BE49-F238E27FC236}">
              <a16:creationId xmlns:a16="http://schemas.microsoft.com/office/drawing/2014/main" id="{9BDE4532-7D4D-458C-8E85-ECCA75E47EE4}"/>
            </a:ext>
          </a:extLst>
        </xdr:cNvPr>
        <xdr:cNvSpPr/>
      </xdr:nvSpPr>
      <xdr:spPr>
        <a:xfrm>
          <a:off x="4419600" y="160528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9</xdr:row>
      <xdr:rowOff>60960</xdr:rowOff>
    </xdr:from>
    <xdr:to>
      <xdr:col>6</xdr:col>
      <xdr:colOff>263525</xdr:colOff>
      <xdr:row>9</xdr:row>
      <xdr:rowOff>106045</xdr:rowOff>
    </xdr:to>
    <xdr:sp macro="" textlink="">
      <xdr:nvSpPr>
        <xdr:cNvPr id="143" name="Elipse 142">
          <a:extLst>
            <a:ext uri="{FF2B5EF4-FFF2-40B4-BE49-F238E27FC236}">
              <a16:creationId xmlns:a16="http://schemas.microsoft.com/office/drawing/2014/main" id="{66D85FE6-07BF-4001-99E1-DE0CA2ED1343}"/>
            </a:ext>
          </a:extLst>
        </xdr:cNvPr>
        <xdr:cNvSpPr/>
      </xdr:nvSpPr>
      <xdr:spPr>
        <a:xfrm>
          <a:off x="4902200" y="179832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10</xdr:row>
      <xdr:rowOff>60960</xdr:rowOff>
    </xdr:from>
    <xdr:to>
      <xdr:col>5</xdr:col>
      <xdr:colOff>263525</xdr:colOff>
      <xdr:row>10</xdr:row>
      <xdr:rowOff>106045</xdr:rowOff>
    </xdr:to>
    <xdr:sp macro="" textlink="">
      <xdr:nvSpPr>
        <xdr:cNvPr id="144" name="Elipse 143">
          <a:extLst>
            <a:ext uri="{FF2B5EF4-FFF2-40B4-BE49-F238E27FC236}">
              <a16:creationId xmlns:a16="http://schemas.microsoft.com/office/drawing/2014/main" id="{22936BB1-B383-403C-963B-4B0650716173}"/>
            </a:ext>
          </a:extLst>
        </xdr:cNvPr>
        <xdr:cNvSpPr/>
      </xdr:nvSpPr>
      <xdr:spPr>
        <a:xfrm>
          <a:off x="4419600" y="19913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11</xdr:row>
      <xdr:rowOff>60960</xdr:rowOff>
    </xdr:from>
    <xdr:to>
      <xdr:col>6</xdr:col>
      <xdr:colOff>263525</xdr:colOff>
      <xdr:row>11</xdr:row>
      <xdr:rowOff>106045</xdr:rowOff>
    </xdr:to>
    <xdr:sp macro="" textlink="">
      <xdr:nvSpPr>
        <xdr:cNvPr id="145" name="Elipse 144">
          <a:extLst>
            <a:ext uri="{FF2B5EF4-FFF2-40B4-BE49-F238E27FC236}">
              <a16:creationId xmlns:a16="http://schemas.microsoft.com/office/drawing/2014/main" id="{F82D309E-6434-4E1F-933D-824302ACA7CB}"/>
            </a:ext>
          </a:extLst>
        </xdr:cNvPr>
        <xdr:cNvSpPr/>
      </xdr:nvSpPr>
      <xdr:spPr>
        <a:xfrm>
          <a:off x="4902200" y="218440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12</xdr:row>
      <xdr:rowOff>60960</xdr:rowOff>
    </xdr:from>
    <xdr:to>
      <xdr:col>5</xdr:col>
      <xdr:colOff>263525</xdr:colOff>
      <xdr:row>12</xdr:row>
      <xdr:rowOff>106045</xdr:rowOff>
    </xdr:to>
    <xdr:sp macro="" textlink="">
      <xdr:nvSpPr>
        <xdr:cNvPr id="146" name="Elipse 145">
          <a:extLst>
            <a:ext uri="{FF2B5EF4-FFF2-40B4-BE49-F238E27FC236}">
              <a16:creationId xmlns:a16="http://schemas.microsoft.com/office/drawing/2014/main" id="{405A1652-F808-4F87-99D2-44DFF3207E5A}"/>
            </a:ext>
          </a:extLst>
        </xdr:cNvPr>
        <xdr:cNvSpPr/>
      </xdr:nvSpPr>
      <xdr:spPr>
        <a:xfrm>
          <a:off x="4419600" y="237744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13</xdr:row>
      <xdr:rowOff>60960</xdr:rowOff>
    </xdr:from>
    <xdr:to>
      <xdr:col>6</xdr:col>
      <xdr:colOff>263525</xdr:colOff>
      <xdr:row>13</xdr:row>
      <xdr:rowOff>106045</xdr:rowOff>
    </xdr:to>
    <xdr:sp macro="" textlink="">
      <xdr:nvSpPr>
        <xdr:cNvPr id="147" name="Elipse 146">
          <a:extLst>
            <a:ext uri="{FF2B5EF4-FFF2-40B4-BE49-F238E27FC236}">
              <a16:creationId xmlns:a16="http://schemas.microsoft.com/office/drawing/2014/main" id="{DC0C9F6A-0C57-4A29-AFF7-BCD6FF607375}"/>
            </a:ext>
          </a:extLst>
        </xdr:cNvPr>
        <xdr:cNvSpPr/>
      </xdr:nvSpPr>
      <xdr:spPr>
        <a:xfrm>
          <a:off x="4902200" y="257048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15</xdr:row>
      <xdr:rowOff>60960</xdr:rowOff>
    </xdr:from>
    <xdr:to>
      <xdr:col>6</xdr:col>
      <xdr:colOff>263525</xdr:colOff>
      <xdr:row>15</xdr:row>
      <xdr:rowOff>106045</xdr:rowOff>
    </xdr:to>
    <xdr:sp macro="" textlink="">
      <xdr:nvSpPr>
        <xdr:cNvPr id="150" name="Elipse 149">
          <a:extLst>
            <a:ext uri="{FF2B5EF4-FFF2-40B4-BE49-F238E27FC236}">
              <a16:creationId xmlns:a16="http://schemas.microsoft.com/office/drawing/2014/main" id="{97A8EDDE-69BA-44B1-891F-CCAA3D58CF91}"/>
            </a:ext>
          </a:extLst>
        </xdr:cNvPr>
        <xdr:cNvSpPr/>
      </xdr:nvSpPr>
      <xdr:spPr>
        <a:xfrm>
          <a:off x="4902200" y="29565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218440</xdr:colOff>
      <xdr:row>17</xdr:row>
      <xdr:rowOff>68657</xdr:rowOff>
    </xdr:from>
    <xdr:to>
      <xdr:col>8</xdr:col>
      <xdr:colOff>263525</xdr:colOff>
      <xdr:row>17</xdr:row>
      <xdr:rowOff>113742</xdr:rowOff>
    </xdr:to>
    <xdr:sp macro="" textlink="">
      <xdr:nvSpPr>
        <xdr:cNvPr id="152" name="Elipse 151">
          <a:extLst>
            <a:ext uri="{FF2B5EF4-FFF2-40B4-BE49-F238E27FC236}">
              <a16:creationId xmlns:a16="http://schemas.microsoft.com/office/drawing/2014/main" id="{D061C4FC-6A93-40AF-ADAC-436AE52591E8}"/>
            </a:ext>
          </a:extLst>
        </xdr:cNvPr>
        <xdr:cNvSpPr/>
      </xdr:nvSpPr>
      <xdr:spPr>
        <a:xfrm>
          <a:off x="4902200" y="335033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18</xdr:row>
      <xdr:rowOff>60960</xdr:rowOff>
    </xdr:from>
    <xdr:to>
      <xdr:col>6</xdr:col>
      <xdr:colOff>263525</xdr:colOff>
      <xdr:row>18</xdr:row>
      <xdr:rowOff>106045</xdr:rowOff>
    </xdr:to>
    <xdr:sp macro="" textlink="">
      <xdr:nvSpPr>
        <xdr:cNvPr id="153" name="Elipse 152">
          <a:extLst>
            <a:ext uri="{FF2B5EF4-FFF2-40B4-BE49-F238E27FC236}">
              <a16:creationId xmlns:a16="http://schemas.microsoft.com/office/drawing/2014/main" id="{ADBFA614-533F-4504-A400-9BBA8DFEAE5C}"/>
            </a:ext>
          </a:extLst>
        </xdr:cNvPr>
        <xdr:cNvSpPr/>
      </xdr:nvSpPr>
      <xdr:spPr>
        <a:xfrm>
          <a:off x="4419600" y="353568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19</xdr:row>
      <xdr:rowOff>60960</xdr:rowOff>
    </xdr:from>
    <xdr:to>
      <xdr:col>5</xdr:col>
      <xdr:colOff>263525</xdr:colOff>
      <xdr:row>19</xdr:row>
      <xdr:rowOff>106045</xdr:rowOff>
    </xdr:to>
    <xdr:sp macro="" textlink="">
      <xdr:nvSpPr>
        <xdr:cNvPr id="154" name="Elipse 153">
          <a:extLst>
            <a:ext uri="{FF2B5EF4-FFF2-40B4-BE49-F238E27FC236}">
              <a16:creationId xmlns:a16="http://schemas.microsoft.com/office/drawing/2014/main" id="{52497875-B729-4166-826D-06FFD7DBC375}"/>
            </a:ext>
          </a:extLst>
        </xdr:cNvPr>
        <xdr:cNvSpPr/>
      </xdr:nvSpPr>
      <xdr:spPr>
        <a:xfrm>
          <a:off x="4902200" y="372872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20</xdr:row>
      <xdr:rowOff>60960</xdr:rowOff>
    </xdr:from>
    <xdr:to>
      <xdr:col>6</xdr:col>
      <xdr:colOff>263525</xdr:colOff>
      <xdr:row>20</xdr:row>
      <xdr:rowOff>106045</xdr:rowOff>
    </xdr:to>
    <xdr:sp macro="" textlink="">
      <xdr:nvSpPr>
        <xdr:cNvPr id="155" name="Elipse 154">
          <a:extLst>
            <a:ext uri="{FF2B5EF4-FFF2-40B4-BE49-F238E27FC236}">
              <a16:creationId xmlns:a16="http://schemas.microsoft.com/office/drawing/2014/main" id="{E217AB05-7E7A-41F7-8282-B62DEA886E48}"/>
            </a:ext>
          </a:extLst>
        </xdr:cNvPr>
        <xdr:cNvSpPr/>
      </xdr:nvSpPr>
      <xdr:spPr>
        <a:xfrm>
          <a:off x="4419600" y="39217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21</xdr:row>
      <xdr:rowOff>60960</xdr:rowOff>
    </xdr:from>
    <xdr:to>
      <xdr:col>5</xdr:col>
      <xdr:colOff>263525</xdr:colOff>
      <xdr:row>21</xdr:row>
      <xdr:rowOff>106045</xdr:rowOff>
    </xdr:to>
    <xdr:sp macro="" textlink="">
      <xdr:nvSpPr>
        <xdr:cNvPr id="156" name="Elipse 155">
          <a:extLst>
            <a:ext uri="{FF2B5EF4-FFF2-40B4-BE49-F238E27FC236}">
              <a16:creationId xmlns:a16="http://schemas.microsoft.com/office/drawing/2014/main" id="{B49EBD31-9D10-426E-90A7-26D060E15C5B}"/>
            </a:ext>
          </a:extLst>
        </xdr:cNvPr>
        <xdr:cNvSpPr/>
      </xdr:nvSpPr>
      <xdr:spPr>
        <a:xfrm>
          <a:off x="4902200" y="411480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22</xdr:row>
      <xdr:rowOff>60960</xdr:rowOff>
    </xdr:from>
    <xdr:to>
      <xdr:col>6</xdr:col>
      <xdr:colOff>263525</xdr:colOff>
      <xdr:row>22</xdr:row>
      <xdr:rowOff>106045</xdr:rowOff>
    </xdr:to>
    <xdr:sp macro="" textlink="">
      <xdr:nvSpPr>
        <xdr:cNvPr id="157" name="Elipse 156">
          <a:extLst>
            <a:ext uri="{FF2B5EF4-FFF2-40B4-BE49-F238E27FC236}">
              <a16:creationId xmlns:a16="http://schemas.microsoft.com/office/drawing/2014/main" id="{62C84717-2059-4FB0-8FF1-F15A391750E2}"/>
            </a:ext>
          </a:extLst>
        </xdr:cNvPr>
        <xdr:cNvSpPr/>
      </xdr:nvSpPr>
      <xdr:spPr>
        <a:xfrm>
          <a:off x="4419600" y="430784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23</xdr:row>
      <xdr:rowOff>60960</xdr:rowOff>
    </xdr:from>
    <xdr:to>
      <xdr:col>5</xdr:col>
      <xdr:colOff>263525</xdr:colOff>
      <xdr:row>23</xdr:row>
      <xdr:rowOff>106045</xdr:rowOff>
    </xdr:to>
    <xdr:sp macro="" textlink="">
      <xdr:nvSpPr>
        <xdr:cNvPr id="158" name="Elipse 157">
          <a:extLst>
            <a:ext uri="{FF2B5EF4-FFF2-40B4-BE49-F238E27FC236}">
              <a16:creationId xmlns:a16="http://schemas.microsoft.com/office/drawing/2014/main" id="{3B53A601-CCA5-4D0A-8C5E-BAFC390B488D}"/>
            </a:ext>
          </a:extLst>
        </xdr:cNvPr>
        <xdr:cNvSpPr/>
      </xdr:nvSpPr>
      <xdr:spPr>
        <a:xfrm>
          <a:off x="4902200" y="450088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24</xdr:row>
      <xdr:rowOff>60960</xdr:rowOff>
    </xdr:from>
    <xdr:to>
      <xdr:col>6</xdr:col>
      <xdr:colOff>263525</xdr:colOff>
      <xdr:row>24</xdr:row>
      <xdr:rowOff>106045</xdr:rowOff>
    </xdr:to>
    <xdr:sp macro="" textlink="">
      <xdr:nvSpPr>
        <xdr:cNvPr id="159" name="Elipse 158">
          <a:extLst>
            <a:ext uri="{FF2B5EF4-FFF2-40B4-BE49-F238E27FC236}">
              <a16:creationId xmlns:a16="http://schemas.microsoft.com/office/drawing/2014/main" id="{0ABE8BAC-B643-4532-9633-4A22EDF5F35F}"/>
            </a:ext>
          </a:extLst>
        </xdr:cNvPr>
        <xdr:cNvSpPr/>
      </xdr:nvSpPr>
      <xdr:spPr>
        <a:xfrm>
          <a:off x="4419600" y="469392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25</xdr:row>
      <xdr:rowOff>60960</xdr:rowOff>
    </xdr:from>
    <xdr:to>
      <xdr:col>5</xdr:col>
      <xdr:colOff>263525</xdr:colOff>
      <xdr:row>25</xdr:row>
      <xdr:rowOff>106045</xdr:rowOff>
    </xdr:to>
    <xdr:sp macro="" textlink="">
      <xdr:nvSpPr>
        <xdr:cNvPr id="160" name="Elipse 159">
          <a:extLst>
            <a:ext uri="{FF2B5EF4-FFF2-40B4-BE49-F238E27FC236}">
              <a16:creationId xmlns:a16="http://schemas.microsoft.com/office/drawing/2014/main" id="{7DDD3BE3-0085-46F7-AB10-63BCC03290E4}"/>
            </a:ext>
          </a:extLst>
        </xdr:cNvPr>
        <xdr:cNvSpPr/>
      </xdr:nvSpPr>
      <xdr:spPr>
        <a:xfrm>
          <a:off x="4902200" y="4886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26</xdr:row>
      <xdr:rowOff>76970</xdr:rowOff>
    </xdr:from>
    <xdr:to>
      <xdr:col>8</xdr:col>
      <xdr:colOff>260600</xdr:colOff>
      <xdr:row>26</xdr:row>
      <xdr:rowOff>122055</xdr:rowOff>
    </xdr:to>
    <xdr:sp macro="" textlink="">
      <xdr:nvSpPr>
        <xdr:cNvPr id="161" name="Elipse 160">
          <a:extLst>
            <a:ext uri="{FF2B5EF4-FFF2-40B4-BE49-F238E27FC236}">
              <a16:creationId xmlns:a16="http://schemas.microsoft.com/office/drawing/2014/main" id="{CA18BF64-439A-4041-A250-8FCFFFB6B4BB}"/>
            </a:ext>
          </a:extLst>
        </xdr:cNvPr>
        <xdr:cNvSpPr/>
      </xdr:nvSpPr>
      <xdr:spPr>
        <a:xfrm>
          <a:off x="5849697" y="508000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14</xdr:row>
      <xdr:rowOff>76970</xdr:rowOff>
    </xdr:from>
    <xdr:to>
      <xdr:col>8</xdr:col>
      <xdr:colOff>260600</xdr:colOff>
      <xdr:row>14</xdr:row>
      <xdr:rowOff>122055</xdr:rowOff>
    </xdr:to>
    <xdr:sp macro="" textlink="">
      <xdr:nvSpPr>
        <xdr:cNvPr id="162" name="Elipse 161">
          <a:extLst>
            <a:ext uri="{FF2B5EF4-FFF2-40B4-BE49-F238E27FC236}">
              <a16:creationId xmlns:a16="http://schemas.microsoft.com/office/drawing/2014/main" id="{3EFFBDEC-169A-4396-A616-7DFB9CA8098C}"/>
            </a:ext>
          </a:extLst>
        </xdr:cNvPr>
        <xdr:cNvSpPr/>
      </xdr:nvSpPr>
      <xdr:spPr>
        <a:xfrm>
          <a:off x="5849697" y="2770909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</xdr:row>
      <xdr:rowOff>76970</xdr:rowOff>
    </xdr:from>
    <xdr:to>
      <xdr:col>8</xdr:col>
      <xdr:colOff>260600</xdr:colOff>
      <xdr:row>4</xdr:row>
      <xdr:rowOff>122055</xdr:rowOff>
    </xdr:to>
    <xdr:sp macro="" textlink="">
      <xdr:nvSpPr>
        <xdr:cNvPr id="163" name="Elipse 162">
          <a:extLst>
            <a:ext uri="{FF2B5EF4-FFF2-40B4-BE49-F238E27FC236}">
              <a16:creationId xmlns:a16="http://schemas.microsoft.com/office/drawing/2014/main" id="{5FE13766-4447-49F1-BB5F-8016DF0A2689}"/>
            </a:ext>
          </a:extLst>
        </xdr:cNvPr>
        <xdr:cNvSpPr/>
      </xdr:nvSpPr>
      <xdr:spPr>
        <a:xfrm>
          <a:off x="5849697" y="84666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27</xdr:row>
      <xdr:rowOff>60960</xdr:rowOff>
    </xdr:from>
    <xdr:to>
      <xdr:col>6</xdr:col>
      <xdr:colOff>263525</xdr:colOff>
      <xdr:row>27</xdr:row>
      <xdr:rowOff>106045</xdr:rowOff>
    </xdr:to>
    <xdr:sp macro="" textlink="">
      <xdr:nvSpPr>
        <xdr:cNvPr id="164" name="Elipse 163">
          <a:extLst>
            <a:ext uri="{FF2B5EF4-FFF2-40B4-BE49-F238E27FC236}">
              <a16:creationId xmlns:a16="http://schemas.microsoft.com/office/drawing/2014/main" id="{880A9BD9-908E-4C3C-9D27-9B2641FDE2F7}"/>
            </a:ext>
          </a:extLst>
        </xdr:cNvPr>
        <xdr:cNvSpPr/>
      </xdr:nvSpPr>
      <xdr:spPr>
        <a:xfrm>
          <a:off x="4902200" y="527304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3</xdr:row>
      <xdr:rowOff>69273</xdr:rowOff>
    </xdr:from>
    <xdr:to>
      <xdr:col>9</xdr:col>
      <xdr:colOff>260600</xdr:colOff>
      <xdr:row>3</xdr:row>
      <xdr:rowOff>114358</xdr:rowOff>
    </xdr:to>
    <xdr:sp macro="" textlink="">
      <xdr:nvSpPr>
        <xdr:cNvPr id="165" name="Elipse 164">
          <a:extLst>
            <a:ext uri="{FF2B5EF4-FFF2-40B4-BE49-F238E27FC236}">
              <a16:creationId xmlns:a16="http://schemas.microsoft.com/office/drawing/2014/main" id="{7B18EA74-58E1-4313-A6B4-3A37168DDB27}"/>
            </a:ext>
          </a:extLst>
        </xdr:cNvPr>
        <xdr:cNvSpPr/>
      </xdr:nvSpPr>
      <xdr:spPr>
        <a:xfrm>
          <a:off x="6326909" y="646546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28</xdr:row>
      <xdr:rowOff>60960</xdr:rowOff>
    </xdr:from>
    <xdr:to>
      <xdr:col>5</xdr:col>
      <xdr:colOff>263525</xdr:colOff>
      <xdr:row>28</xdr:row>
      <xdr:rowOff>106045</xdr:rowOff>
    </xdr:to>
    <xdr:sp macro="" textlink="">
      <xdr:nvSpPr>
        <xdr:cNvPr id="166" name="Elipse 165">
          <a:extLst>
            <a:ext uri="{FF2B5EF4-FFF2-40B4-BE49-F238E27FC236}">
              <a16:creationId xmlns:a16="http://schemas.microsoft.com/office/drawing/2014/main" id="{907F0D5E-B205-4D58-A4E9-7796D250E4AA}"/>
            </a:ext>
          </a:extLst>
        </xdr:cNvPr>
        <xdr:cNvSpPr/>
      </xdr:nvSpPr>
      <xdr:spPr>
        <a:xfrm>
          <a:off x="4419600" y="546608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207818</xdr:colOff>
      <xdr:row>29</xdr:row>
      <xdr:rowOff>61576</xdr:rowOff>
    </xdr:from>
    <xdr:to>
      <xdr:col>7</xdr:col>
      <xdr:colOff>252903</xdr:colOff>
      <xdr:row>29</xdr:row>
      <xdr:rowOff>106661</xdr:rowOff>
    </xdr:to>
    <xdr:sp macro="" textlink="">
      <xdr:nvSpPr>
        <xdr:cNvPr id="167" name="Elipse 166">
          <a:extLst>
            <a:ext uri="{FF2B5EF4-FFF2-40B4-BE49-F238E27FC236}">
              <a16:creationId xmlns:a16="http://schemas.microsoft.com/office/drawing/2014/main" id="{51EE8199-93AA-421A-A13E-6F7D40854904}"/>
            </a:ext>
          </a:extLst>
        </xdr:cNvPr>
        <xdr:cNvSpPr/>
      </xdr:nvSpPr>
      <xdr:spPr>
        <a:xfrm>
          <a:off x="5364788" y="5641879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30</xdr:row>
      <xdr:rowOff>76970</xdr:rowOff>
    </xdr:from>
    <xdr:to>
      <xdr:col>8</xdr:col>
      <xdr:colOff>260600</xdr:colOff>
      <xdr:row>30</xdr:row>
      <xdr:rowOff>122055</xdr:rowOff>
    </xdr:to>
    <xdr:sp macro="" textlink="">
      <xdr:nvSpPr>
        <xdr:cNvPr id="168" name="Elipse 167">
          <a:extLst>
            <a:ext uri="{FF2B5EF4-FFF2-40B4-BE49-F238E27FC236}">
              <a16:creationId xmlns:a16="http://schemas.microsoft.com/office/drawing/2014/main" id="{32C6217B-ECC6-4CC5-A623-B325BB1C1CBA}"/>
            </a:ext>
          </a:extLst>
        </xdr:cNvPr>
        <xdr:cNvSpPr/>
      </xdr:nvSpPr>
      <xdr:spPr>
        <a:xfrm>
          <a:off x="5849697" y="584969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31</xdr:row>
      <xdr:rowOff>60960</xdr:rowOff>
    </xdr:from>
    <xdr:to>
      <xdr:col>6</xdr:col>
      <xdr:colOff>263525</xdr:colOff>
      <xdr:row>31</xdr:row>
      <xdr:rowOff>106045</xdr:rowOff>
    </xdr:to>
    <xdr:sp macro="" textlink="">
      <xdr:nvSpPr>
        <xdr:cNvPr id="169" name="Elipse 168">
          <a:extLst>
            <a:ext uri="{FF2B5EF4-FFF2-40B4-BE49-F238E27FC236}">
              <a16:creationId xmlns:a16="http://schemas.microsoft.com/office/drawing/2014/main" id="{AEBF4AB5-0215-4908-A7A5-3BB09FD5ED24}"/>
            </a:ext>
          </a:extLst>
        </xdr:cNvPr>
        <xdr:cNvSpPr/>
      </xdr:nvSpPr>
      <xdr:spPr>
        <a:xfrm>
          <a:off x="4902200" y="604520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33</xdr:row>
      <xdr:rowOff>60960</xdr:rowOff>
    </xdr:from>
    <xdr:to>
      <xdr:col>6</xdr:col>
      <xdr:colOff>263525</xdr:colOff>
      <xdr:row>33</xdr:row>
      <xdr:rowOff>106045</xdr:rowOff>
    </xdr:to>
    <xdr:sp macro="" textlink="">
      <xdr:nvSpPr>
        <xdr:cNvPr id="171" name="Elipse 170">
          <a:extLst>
            <a:ext uri="{FF2B5EF4-FFF2-40B4-BE49-F238E27FC236}">
              <a16:creationId xmlns:a16="http://schemas.microsoft.com/office/drawing/2014/main" id="{9FD08B09-D2B0-4E64-8439-B2A8B7107331}"/>
            </a:ext>
          </a:extLst>
        </xdr:cNvPr>
        <xdr:cNvSpPr/>
      </xdr:nvSpPr>
      <xdr:spPr>
        <a:xfrm>
          <a:off x="4902200" y="643128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34</xdr:row>
      <xdr:rowOff>60960</xdr:rowOff>
    </xdr:from>
    <xdr:to>
      <xdr:col>5</xdr:col>
      <xdr:colOff>263525</xdr:colOff>
      <xdr:row>34</xdr:row>
      <xdr:rowOff>106045</xdr:rowOff>
    </xdr:to>
    <xdr:sp macro="" textlink="">
      <xdr:nvSpPr>
        <xdr:cNvPr id="172" name="Elipse 171">
          <a:extLst>
            <a:ext uri="{FF2B5EF4-FFF2-40B4-BE49-F238E27FC236}">
              <a16:creationId xmlns:a16="http://schemas.microsoft.com/office/drawing/2014/main" id="{58AB9BC5-DAA2-4A17-BDE0-E595BA81D862}"/>
            </a:ext>
          </a:extLst>
        </xdr:cNvPr>
        <xdr:cNvSpPr/>
      </xdr:nvSpPr>
      <xdr:spPr>
        <a:xfrm>
          <a:off x="4419600" y="662432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35</xdr:row>
      <xdr:rowOff>60960</xdr:rowOff>
    </xdr:from>
    <xdr:to>
      <xdr:col>6</xdr:col>
      <xdr:colOff>263525</xdr:colOff>
      <xdr:row>35</xdr:row>
      <xdr:rowOff>106045</xdr:rowOff>
    </xdr:to>
    <xdr:sp macro="" textlink="">
      <xdr:nvSpPr>
        <xdr:cNvPr id="173" name="Elipse 172">
          <a:extLst>
            <a:ext uri="{FF2B5EF4-FFF2-40B4-BE49-F238E27FC236}">
              <a16:creationId xmlns:a16="http://schemas.microsoft.com/office/drawing/2014/main" id="{03A69967-D520-4D6D-9639-5A9B7D8ACDAB}"/>
            </a:ext>
          </a:extLst>
        </xdr:cNvPr>
        <xdr:cNvSpPr/>
      </xdr:nvSpPr>
      <xdr:spPr>
        <a:xfrm>
          <a:off x="4902200" y="68173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36</xdr:row>
      <xdr:rowOff>60960</xdr:rowOff>
    </xdr:from>
    <xdr:to>
      <xdr:col>5</xdr:col>
      <xdr:colOff>263525</xdr:colOff>
      <xdr:row>36</xdr:row>
      <xdr:rowOff>106045</xdr:rowOff>
    </xdr:to>
    <xdr:sp macro="" textlink="">
      <xdr:nvSpPr>
        <xdr:cNvPr id="174" name="Elipse 173">
          <a:extLst>
            <a:ext uri="{FF2B5EF4-FFF2-40B4-BE49-F238E27FC236}">
              <a16:creationId xmlns:a16="http://schemas.microsoft.com/office/drawing/2014/main" id="{D2C53003-6D25-4D1F-9552-A4B70DA0EEB4}"/>
            </a:ext>
          </a:extLst>
        </xdr:cNvPr>
        <xdr:cNvSpPr/>
      </xdr:nvSpPr>
      <xdr:spPr>
        <a:xfrm>
          <a:off x="4419600" y="701040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207818</xdr:colOff>
      <xdr:row>37</xdr:row>
      <xdr:rowOff>61576</xdr:rowOff>
    </xdr:from>
    <xdr:to>
      <xdr:col>7</xdr:col>
      <xdr:colOff>252903</xdr:colOff>
      <xdr:row>37</xdr:row>
      <xdr:rowOff>106661</xdr:rowOff>
    </xdr:to>
    <xdr:sp macro="" textlink="">
      <xdr:nvSpPr>
        <xdr:cNvPr id="175" name="Elipse 174">
          <a:extLst>
            <a:ext uri="{FF2B5EF4-FFF2-40B4-BE49-F238E27FC236}">
              <a16:creationId xmlns:a16="http://schemas.microsoft.com/office/drawing/2014/main" id="{BA06401D-6010-4123-B6CE-E5F6DC248ED9}"/>
            </a:ext>
          </a:extLst>
        </xdr:cNvPr>
        <xdr:cNvSpPr/>
      </xdr:nvSpPr>
      <xdr:spPr>
        <a:xfrm>
          <a:off x="5364788" y="71812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38</xdr:row>
      <xdr:rowOff>60960</xdr:rowOff>
    </xdr:from>
    <xdr:to>
      <xdr:col>6</xdr:col>
      <xdr:colOff>263525</xdr:colOff>
      <xdr:row>38</xdr:row>
      <xdr:rowOff>106045</xdr:rowOff>
    </xdr:to>
    <xdr:sp macro="" textlink="">
      <xdr:nvSpPr>
        <xdr:cNvPr id="176" name="Elipse 175">
          <a:extLst>
            <a:ext uri="{FF2B5EF4-FFF2-40B4-BE49-F238E27FC236}">
              <a16:creationId xmlns:a16="http://schemas.microsoft.com/office/drawing/2014/main" id="{68D4D4AC-AEE8-41CD-9597-CF82A4B0C2ED}"/>
            </a:ext>
          </a:extLst>
        </xdr:cNvPr>
        <xdr:cNvSpPr/>
      </xdr:nvSpPr>
      <xdr:spPr>
        <a:xfrm>
          <a:off x="4902200" y="739648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39</xdr:row>
      <xdr:rowOff>60960</xdr:rowOff>
    </xdr:from>
    <xdr:to>
      <xdr:col>5</xdr:col>
      <xdr:colOff>263525</xdr:colOff>
      <xdr:row>39</xdr:row>
      <xdr:rowOff>106045</xdr:rowOff>
    </xdr:to>
    <xdr:sp macro="" textlink="">
      <xdr:nvSpPr>
        <xdr:cNvPr id="177" name="Elipse 176">
          <a:extLst>
            <a:ext uri="{FF2B5EF4-FFF2-40B4-BE49-F238E27FC236}">
              <a16:creationId xmlns:a16="http://schemas.microsoft.com/office/drawing/2014/main" id="{195B4392-7F0E-41B9-8DA0-212BDB3837FA}"/>
            </a:ext>
          </a:extLst>
        </xdr:cNvPr>
        <xdr:cNvSpPr/>
      </xdr:nvSpPr>
      <xdr:spPr>
        <a:xfrm>
          <a:off x="4419600" y="758952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41</xdr:row>
      <xdr:rowOff>60960</xdr:rowOff>
    </xdr:from>
    <xdr:to>
      <xdr:col>6</xdr:col>
      <xdr:colOff>263525</xdr:colOff>
      <xdr:row>41</xdr:row>
      <xdr:rowOff>106045</xdr:rowOff>
    </xdr:to>
    <xdr:sp macro="" textlink="">
      <xdr:nvSpPr>
        <xdr:cNvPr id="179" name="Elipse 178">
          <a:extLst>
            <a:ext uri="{FF2B5EF4-FFF2-40B4-BE49-F238E27FC236}">
              <a16:creationId xmlns:a16="http://schemas.microsoft.com/office/drawing/2014/main" id="{6FD8BA80-49D3-4E23-8702-B2C1530B67AC}"/>
            </a:ext>
          </a:extLst>
        </xdr:cNvPr>
        <xdr:cNvSpPr/>
      </xdr:nvSpPr>
      <xdr:spPr>
        <a:xfrm>
          <a:off x="4902200" y="797560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44</xdr:row>
      <xdr:rowOff>60960</xdr:rowOff>
    </xdr:from>
    <xdr:to>
      <xdr:col>6</xdr:col>
      <xdr:colOff>263525</xdr:colOff>
      <xdr:row>44</xdr:row>
      <xdr:rowOff>106045</xdr:rowOff>
    </xdr:to>
    <xdr:sp macro="" textlink="">
      <xdr:nvSpPr>
        <xdr:cNvPr id="182" name="Elipse 181">
          <a:extLst>
            <a:ext uri="{FF2B5EF4-FFF2-40B4-BE49-F238E27FC236}">
              <a16:creationId xmlns:a16="http://schemas.microsoft.com/office/drawing/2014/main" id="{23442A9E-4D00-4EBA-909E-C724E8CB68EC}"/>
            </a:ext>
          </a:extLst>
        </xdr:cNvPr>
        <xdr:cNvSpPr/>
      </xdr:nvSpPr>
      <xdr:spPr>
        <a:xfrm>
          <a:off x="4902200" y="855472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45</xdr:row>
      <xdr:rowOff>60960</xdr:rowOff>
    </xdr:from>
    <xdr:to>
      <xdr:col>5</xdr:col>
      <xdr:colOff>263525</xdr:colOff>
      <xdr:row>45</xdr:row>
      <xdr:rowOff>106045</xdr:rowOff>
    </xdr:to>
    <xdr:sp macro="" textlink="">
      <xdr:nvSpPr>
        <xdr:cNvPr id="183" name="Elipse 182">
          <a:extLst>
            <a:ext uri="{FF2B5EF4-FFF2-40B4-BE49-F238E27FC236}">
              <a16:creationId xmlns:a16="http://schemas.microsoft.com/office/drawing/2014/main" id="{9F7F755C-279B-45BC-B6E4-40BDE29418B6}"/>
            </a:ext>
          </a:extLst>
        </xdr:cNvPr>
        <xdr:cNvSpPr/>
      </xdr:nvSpPr>
      <xdr:spPr>
        <a:xfrm>
          <a:off x="4419600" y="87477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46</xdr:row>
      <xdr:rowOff>60960</xdr:rowOff>
    </xdr:from>
    <xdr:to>
      <xdr:col>6</xdr:col>
      <xdr:colOff>263525</xdr:colOff>
      <xdr:row>46</xdr:row>
      <xdr:rowOff>106045</xdr:rowOff>
    </xdr:to>
    <xdr:sp macro="" textlink="">
      <xdr:nvSpPr>
        <xdr:cNvPr id="184" name="Elipse 183">
          <a:extLst>
            <a:ext uri="{FF2B5EF4-FFF2-40B4-BE49-F238E27FC236}">
              <a16:creationId xmlns:a16="http://schemas.microsoft.com/office/drawing/2014/main" id="{665B98C4-A423-4DB9-B5A0-1E4EC68EA68F}"/>
            </a:ext>
          </a:extLst>
        </xdr:cNvPr>
        <xdr:cNvSpPr/>
      </xdr:nvSpPr>
      <xdr:spPr>
        <a:xfrm>
          <a:off x="4902200" y="894080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47</xdr:row>
      <xdr:rowOff>60960</xdr:rowOff>
    </xdr:from>
    <xdr:to>
      <xdr:col>5</xdr:col>
      <xdr:colOff>263525</xdr:colOff>
      <xdr:row>47</xdr:row>
      <xdr:rowOff>106045</xdr:rowOff>
    </xdr:to>
    <xdr:sp macro="" textlink="">
      <xdr:nvSpPr>
        <xdr:cNvPr id="185" name="Elipse 184">
          <a:extLst>
            <a:ext uri="{FF2B5EF4-FFF2-40B4-BE49-F238E27FC236}">
              <a16:creationId xmlns:a16="http://schemas.microsoft.com/office/drawing/2014/main" id="{981CFC8A-B58C-4ABC-939C-B1F675C7F18E}"/>
            </a:ext>
          </a:extLst>
        </xdr:cNvPr>
        <xdr:cNvSpPr/>
      </xdr:nvSpPr>
      <xdr:spPr>
        <a:xfrm>
          <a:off x="4419600" y="913384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48</xdr:row>
      <xdr:rowOff>60960</xdr:rowOff>
    </xdr:from>
    <xdr:to>
      <xdr:col>6</xdr:col>
      <xdr:colOff>263525</xdr:colOff>
      <xdr:row>48</xdr:row>
      <xdr:rowOff>106045</xdr:rowOff>
    </xdr:to>
    <xdr:sp macro="" textlink="">
      <xdr:nvSpPr>
        <xdr:cNvPr id="186" name="Elipse 185">
          <a:extLst>
            <a:ext uri="{FF2B5EF4-FFF2-40B4-BE49-F238E27FC236}">
              <a16:creationId xmlns:a16="http://schemas.microsoft.com/office/drawing/2014/main" id="{4CC26760-06E0-4016-9082-7F54F16C792A}"/>
            </a:ext>
          </a:extLst>
        </xdr:cNvPr>
        <xdr:cNvSpPr/>
      </xdr:nvSpPr>
      <xdr:spPr>
        <a:xfrm>
          <a:off x="4902200" y="932688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49</xdr:row>
      <xdr:rowOff>60960</xdr:rowOff>
    </xdr:from>
    <xdr:to>
      <xdr:col>5</xdr:col>
      <xdr:colOff>263525</xdr:colOff>
      <xdr:row>49</xdr:row>
      <xdr:rowOff>106045</xdr:rowOff>
    </xdr:to>
    <xdr:sp macro="" textlink="">
      <xdr:nvSpPr>
        <xdr:cNvPr id="187" name="Elipse 186">
          <a:extLst>
            <a:ext uri="{FF2B5EF4-FFF2-40B4-BE49-F238E27FC236}">
              <a16:creationId xmlns:a16="http://schemas.microsoft.com/office/drawing/2014/main" id="{3B91DB91-AE35-4399-AD27-A01A8A71431C}"/>
            </a:ext>
          </a:extLst>
        </xdr:cNvPr>
        <xdr:cNvSpPr/>
      </xdr:nvSpPr>
      <xdr:spPr>
        <a:xfrm>
          <a:off x="4419600" y="951992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51</xdr:row>
      <xdr:rowOff>60960</xdr:rowOff>
    </xdr:from>
    <xdr:to>
      <xdr:col>6</xdr:col>
      <xdr:colOff>263525</xdr:colOff>
      <xdr:row>51</xdr:row>
      <xdr:rowOff>106045</xdr:rowOff>
    </xdr:to>
    <xdr:sp macro="" textlink="">
      <xdr:nvSpPr>
        <xdr:cNvPr id="189" name="Elipse 188">
          <a:extLst>
            <a:ext uri="{FF2B5EF4-FFF2-40B4-BE49-F238E27FC236}">
              <a16:creationId xmlns:a16="http://schemas.microsoft.com/office/drawing/2014/main" id="{1C5DE66A-A2AC-462D-9998-99A9F6FCBEB2}"/>
            </a:ext>
          </a:extLst>
        </xdr:cNvPr>
        <xdr:cNvSpPr/>
      </xdr:nvSpPr>
      <xdr:spPr>
        <a:xfrm>
          <a:off x="4419600" y="990600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32</xdr:row>
      <xdr:rowOff>69273</xdr:rowOff>
    </xdr:from>
    <xdr:to>
      <xdr:col>9</xdr:col>
      <xdr:colOff>260600</xdr:colOff>
      <xdr:row>32</xdr:row>
      <xdr:rowOff>114358</xdr:rowOff>
    </xdr:to>
    <xdr:sp macro="" textlink="">
      <xdr:nvSpPr>
        <xdr:cNvPr id="190" name="Elipse 189">
          <a:extLst>
            <a:ext uri="{FF2B5EF4-FFF2-40B4-BE49-F238E27FC236}">
              <a16:creationId xmlns:a16="http://schemas.microsoft.com/office/drawing/2014/main" id="{421FF8E7-C251-43A4-BC86-262261B23225}"/>
            </a:ext>
          </a:extLst>
        </xdr:cNvPr>
        <xdr:cNvSpPr/>
      </xdr:nvSpPr>
      <xdr:spPr>
        <a:xfrm>
          <a:off x="6326909" y="6226849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16</xdr:row>
      <xdr:rowOff>69273</xdr:rowOff>
    </xdr:from>
    <xdr:to>
      <xdr:col>9</xdr:col>
      <xdr:colOff>260600</xdr:colOff>
      <xdr:row>16</xdr:row>
      <xdr:rowOff>114358</xdr:rowOff>
    </xdr:to>
    <xdr:sp macro="" textlink="">
      <xdr:nvSpPr>
        <xdr:cNvPr id="191" name="Elipse 190">
          <a:extLst>
            <a:ext uri="{FF2B5EF4-FFF2-40B4-BE49-F238E27FC236}">
              <a16:creationId xmlns:a16="http://schemas.microsoft.com/office/drawing/2014/main" id="{406CE2F5-5EFC-4846-87E5-329A5DBE1354}"/>
            </a:ext>
          </a:extLst>
        </xdr:cNvPr>
        <xdr:cNvSpPr/>
      </xdr:nvSpPr>
      <xdr:spPr>
        <a:xfrm>
          <a:off x="6326909" y="3148061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42</xdr:row>
      <xdr:rowOff>69273</xdr:rowOff>
    </xdr:from>
    <xdr:to>
      <xdr:col>9</xdr:col>
      <xdr:colOff>260600</xdr:colOff>
      <xdr:row>42</xdr:row>
      <xdr:rowOff>114358</xdr:rowOff>
    </xdr:to>
    <xdr:sp macro="" textlink="">
      <xdr:nvSpPr>
        <xdr:cNvPr id="192" name="Elipse 191">
          <a:extLst>
            <a:ext uri="{FF2B5EF4-FFF2-40B4-BE49-F238E27FC236}">
              <a16:creationId xmlns:a16="http://schemas.microsoft.com/office/drawing/2014/main" id="{1987A1EB-BAA1-4A36-B23D-FA33D5D1BEE6}"/>
            </a:ext>
          </a:extLst>
        </xdr:cNvPr>
        <xdr:cNvSpPr/>
      </xdr:nvSpPr>
      <xdr:spPr>
        <a:xfrm>
          <a:off x="6326909" y="8151091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52</xdr:row>
      <xdr:rowOff>69273</xdr:rowOff>
    </xdr:from>
    <xdr:to>
      <xdr:col>9</xdr:col>
      <xdr:colOff>260600</xdr:colOff>
      <xdr:row>52</xdr:row>
      <xdr:rowOff>114358</xdr:rowOff>
    </xdr:to>
    <xdr:sp macro="" textlink="">
      <xdr:nvSpPr>
        <xdr:cNvPr id="193" name="Elipse 192">
          <a:extLst>
            <a:ext uri="{FF2B5EF4-FFF2-40B4-BE49-F238E27FC236}">
              <a16:creationId xmlns:a16="http://schemas.microsoft.com/office/drawing/2014/main" id="{4DEF302F-F956-4F3A-AE72-421C160D9158}"/>
            </a:ext>
          </a:extLst>
        </xdr:cNvPr>
        <xdr:cNvSpPr/>
      </xdr:nvSpPr>
      <xdr:spPr>
        <a:xfrm>
          <a:off x="6326909" y="10075334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54</xdr:row>
      <xdr:rowOff>60960</xdr:rowOff>
    </xdr:from>
    <xdr:to>
      <xdr:col>6</xdr:col>
      <xdr:colOff>263525</xdr:colOff>
      <xdr:row>54</xdr:row>
      <xdr:rowOff>106045</xdr:rowOff>
    </xdr:to>
    <xdr:sp macro="" textlink="">
      <xdr:nvSpPr>
        <xdr:cNvPr id="195" name="Elipse 194">
          <a:extLst>
            <a:ext uri="{FF2B5EF4-FFF2-40B4-BE49-F238E27FC236}">
              <a16:creationId xmlns:a16="http://schemas.microsoft.com/office/drawing/2014/main" id="{4877DDCE-DD6D-4965-8AEA-7700D85835A5}"/>
            </a:ext>
          </a:extLst>
        </xdr:cNvPr>
        <xdr:cNvSpPr/>
      </xdr:nvSpPr>
      <xdr:spPr>
        <a:xfrm>
          <a:off x="4902200" y="1048512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55</xdr:row>
      <xdr:rowOff>60960</xdr:rowOff>
    </xdr:from>
    <xdr:to>
      <xdr:col>5</xdr:col>
      <xdr:colOff>263525</xdr:colOff>
      <xdr:row>55</xdr:row>
      <xdr:rowOff>106045</xdr:rowOff>
    </xdr:to>
    <xdr:sp macro="" textlink="">
      <xdr:nvSpPr>
        <xdr:cNvPr id="196" name="Elipse 195">
          <a:extLst>
            <a:ext uri="{FF2B5EF4-FFF2-40B4-BE49-F238E27FC236}">
              <a16:creationId xmlns:a16="http://schemas.microsoft.com/office/drawing/2014/main" id="{10CD6696-3A52-40F2-9916-11495EE9055D}"/>
            </a:ext>
          </a:extLst>
        </xdr:cNvPr>
        <xdr:cNvSpPr/>
      </xdr:nvSpPr>
      <xdr:spPr>
        <a:xfrm>
          <a:off x="4419600" y="106781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56</xdr:row>
      <xdr:rowOff>60960</xdr:rowOff>
    </xdr:from>
    <xdr:to>
      <xdr:col>6</xdr:col>
      <xdr:colOff>263525</xdr:colOff>
      <xdr:row>56</xdr:row>
      <xdr:rowOff>106045</xdr:rowOff>
    </xdr:to>
    <xdr:sp macro="" textlink="">
      <xdr:nvSpPr>
        <xdr:cNvPr id="197" name="Elipse 196">
          <a:extLst>
            <a:ext uri="{FF2B5EF4-FFF2-40B4-BE49-F238E27FC236}">
              <a16:creationId xmlns:a16="http://schemas.microsoft.com/office/drawing/2014/main" id="{50EFD2CC-EC7E-41A5-80DE-276688533C66}"/>
            </a:ext>
          </a:extLst>
        </xdr:cNvPr>
        <xdr:cNvSpPr/>
      </xdr:nvSpPr>
      <xdr:spPr>
        <a:xfrm>
          <a:off x="4902200" y="1087120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57</xdr:row>
      <xdr:rowOff>60960</xdr:rowOff>
    </xdr:from>
    <xdr:to>
      <xdr:col>5</xdr:col>
      <xdr:colOff>263525</xdr:colOff>
      <xdr:row>57</xdr:row>
      <xdr:rowOff>106045</xdr:rowOff>
    </xdr:to>
    <xdr:sp macro="" textlink="">
      <xdr:nvSpPr>
        <xdr:cNvPr id="198" name="Elipse 197">
          <a:extLst>
            <a:ext uri="{FF2B5EF4-FFF2-40B4-BE49-F238E27FC236}">
              <a16:creationId xmlns:a16="http://schemas.microsoft.com/office/drawing/2014/main" id="{50939630-C49F-428D-9C17-D2801F1CFF5C}"/>
            </a:ext>
          </a:extLst>
        </xdr:cNvPr>
        <xdr:cNvSpPr/>
      </xdr:nvSpPr>
      <xdr:spPr>
        <a:xfrm>
          <a:off x="4419600" y="1106424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58</xdr:row>
      <xdr:rowOff>60960</xdr:rowOff>
    </xdr:from>
    <xdr:to>
      <xdr:col>6</xdr:col>
      <xdr:colOff>263525</xdr:colOff>
      <xdr:row>58</xdr:row>
      <xdr:rowOff>106045</xdr:rowOff>
    </xdr:to>
    <xdr:sp macro="" textlink="">
      <xdr:nvSpPr>
        <xdr:cNvPr id="199" name="Elipse 198">
          <a:extLst>
            <a:ext uri="{FF2B5EF4-FFF2-40B4-BE49-F238E27FC236}">
              <a16:creationId xmlns:a16="http://schemas.microsoft.com/office/drawing/2014/main" id="{D28850EC-7192-4C29-A644-605202C1866C}"/>
            </a:ext>
          </a:extLst>
        </xdr:cNvPr>
        <xdr:cNvSpPr/>
      </xdr:nvSpPr>
      <xdr:spPr>
        <a:xfrm>
          <a:off x="4902200" y="1125728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59</xdr:row>
      <xdr:rowOff>60960</xdr:rowOff>
    </xdr:from>
    <xdr:to>
      <xdr:col>5</xdr:col>
      <xdr:colOff>263525</xdr:colOff>
      <xdr:row>59</xdr:row>
      <xdr:rowOff>106045</xdr:rowOff>
    </xdr:to>
    <xdr:sp macro="" textlink="">
      <xdr:nvSpPr>
        <xdr:cNvPr id="200" name="Elipse 199">
          <a:extLst>
            <a:ext uri="{FF2B5EF4-FFF2-40B4-BE49-F238E27FC236}">
              <a16:creationId xmlns:a16="http://schemas.microsoft.com/office/drawing/2014/main" id="{236905D6-4E86-4CB0-8571-EA842E236D3E}"/>
            </a:ext>
          </a:extLst>
        </xdr:cNvPr>
        <xdr:cNvSpPr/>
      </xdr:nvSpPr>
      <xdr:spPr>
        <a:xfrm>
          <a:off x="4419600" y="1145032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61</xdr:row>
      <xdr:rowOff>60960</xdr:rowOff>
    </xdr:from>
    <xdr:to>
      <xdr:col>6</xdr:col>
      <xdr:colOff>263525</xdr:colOff>
      <xdr:row>61</xdr:row>
      <xdr:rowOff>106045</xdr:rowOff>
    </xdr:to>
    <xdr:sp macro="" textlink="">
      <xdr:nvSpPr>
        <xdr:cNvPr id="202" name="Elipse 201">
          <a:extLst>
            <a:ext uri="{FF2B5EF4-FFF2-40B4-BE49-F238E27FC236}">
              <a16:creationId xmlns:a16="http://schemas.microsoft.com/office/drawing/2014/main" id="{8D268E6A-7C4F-4369-8ADB-736791BDBC73}"/>
            </a:ext>
          </a:extLst>
        </xdr:cNvPr>
        <xdr:cNvSpPr/>
      </xdr:nvSpPr>
      <xdr:spPr>
        <a:xfrm>
          <a:off x="4902200" y="1183640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62</xdr:row>
      <xdr:rowOff>60960</xdr:rowOff>
    </xdr:from>
    <xdr:to>
      <xdr:col>5</xdr:col>
      <xdr:colOff>263525</xdr:colOff>
      <xdr:row>62</xdr:row>
      <xdr:rowOff>106045</xdr:rowOff>
    </xdr:to>
    <xdr:sp macro="" textlink="">
      <xdr:nvSpPr>
        <xdr:cNvPr id="203" name="Elipse 202">
          <a:extLst>
            <a:ext uri="{FF2B5EF4-FFF2-40B4-BE49-F238E27FC236}">
              <a16:creationId xmlns:a16="http://schemas.microsoft.com/office/drawing/2014/main" id="{994497F0-8CC5-4512-8B79-47213C36B957}"/>
            </a:ext>
          </a:extLst>
        </xdr:cNvPr>
        <xdr:cNvSpPr/>
      </xdr:nvSpPr>
      <xdr:spPr>
        <a:xfrm>
          <a:off x="4419600" y="1202944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64</xdr:row>
      <xdr:rowOff>60960</xdr:rowOff>
    </xdr:from>
    <xdr:to>
      <xdr:col>6</xdr:col>
      <xdr:colOff>263525</xdr:colOff>
      <xdr:row>64</xdr:row>
      <xdr:rowOff>106045</xdr:rowOff>
    </xdr:to>
    <xdr:sp macro="" textlink="">
      <xdr:nvSpPr>
        <xdr:cNvPr id="206" name="Elipse 205">
          <a:extLst>
            <a:ext uri="{FF2B5EF4-FFF2-40B4-BE49-F238E27FC236}">
              <a16:creationId xmlns:a16="http://schemas.microsoft.com/office/drawing/2014/main" id="{2B096048-595E-4BB3-9BA5-33DD1347FE1C}"/>
            </a:ext>
          </a:extLst>
        </xdr:cNvPr>
        <xdr:cNvSpPr/>
      </xdr:nvSpPr>
      <xdr:spPr>
        <a:xfrm>
          <a:off x="4902200" y="1241552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40</xdr:row>
      <xdr:rowOff>76970</xdr:rowOff>
    </xdr:from>
    <xdr:to>
      <xdr:col>8</xdr:col>
      <xdr:colOff>260600</xdr:colOff>
      <xdr:row>40</xdr:row>
      <xdr:rowOff>122055</xdr:rowOff>
    </xdr:to>
    <xdr:sp macro="" textlink="">
      <xdr:nvSpPr>
        <xdr:cNvPr id="207" name="Elipse 206">
          <a:extLst>
            <a:ext uri="{FF2B5EF4-FFF2-40B4-BE49-F238E27FC236}">
              <a16:creationId xmlns:a16="http://schemas.microsoft.com/office/drawing/2014/main" id="{D4E106D8-4E2D-45CC-BA97-07C8D51C0CBE}"/>
            </a:ext>
          </a:extLst>
        </xdr:cNvPr>
        <xdr:cNvSpPr/>
      </xdr:nvSpPr>
      <xdr:spPr>
        <a:xfrm>
          <a:off x="5849697" y="777394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43</xdr:row>
      <xdr:rowOff>76970</xdr:rowOff>
    </xdr:from>
    <xdr:to>
      <xdr:col>8</xdr:col>
      <xdr:colOff>260600</xdr:colOff>
      <xdr:row>43</xdr:row>
      <xdr:rowOff>122055</xdr:rowOff>
    </xdr:to>
    <xdr:sp macro="" textlink="">
      <xdr:nvSpPr>
        <xdr:cNvPr id="208" name="Elipse 207">
          <a:extLst>
            <a:ext uri="{FF2B5EF4-FFF2-40B4-BE49-F238E27FC236}">
              <a16:creationId xmlns:a16="http://schemas.microsoft.com/office/drawing/2014/main" id="{AC6693D8-CB04-4FFB-823D-BEB444F6B332}"/>
            </a:ext>
          </a:extLst>
        </xdr:cNvPr>
        <xdr:cNvSpPr/>
      </xdr:nvSpPr>
      <xdr:spPr>
        <a:xfrm>
          <a:off x="5849697" y="8351212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50</xdr:row>
      <xdr:rowOff>76970</xdr:rowOff>
    </xdr:from>
    <xdr:to>
      <xdr:col>8</xdr:col>
      <xdr:colOff>260600</xdr:colOff>
      <xdr:row>50</xdr:row>
      <xdr:rowOff>122055</xdr:rowOff>
    </xdr:to>
    <xdr:sp macro="" textlink="">
      <xdr:nvSpPr>
        <xdr:cNvPr id="209" name="Elipse 208">
          <a:extLst>
            <a:ext uri="{FF2B5EF4-FFF2-40B4-BE49-F238E27FC236}">
              <a16:creationId xmlns:a16="http://schemas.microsoft.com/office/drawing/2014/main" id="{FA2393A9-1544-4D22-8E88-8BCA1A2316F4}"/>
            </a:ext>
          </a:extLst>
        </xdr:cNvPr>
        <xdr:cNvSpPr/>
      </xdr:nvSpPr>
      <xdr:spPr>
        <a:xfrm>
          <a:off x="5849697" y="9698182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53</xdr:row>
      <xdr:rowOff>76970</xdr:rowOff>
    </xdr:from>
    <xdr:to>
      <xdr:col>8</xdr:col>
      <xdr:colOff>260600</xdr:colOff>
      <xdr:row>53</xdr:row>
      <xdr:rowOff>122055</xdr:rowOff>
    </xdr:to>
    <xdr:sp macro="" textlink="">
      <xdr:nvSpPr>
        <xdr:cNvPr id="210" name="Elipse 209">
          <a:extLst>
            <a:ext uri="{FF2B5EF4-FFF2-40B4-BE49-F238E27FC236}">
              <a16:creationId xmlns:a16="http://schemas.microsoft.com/office/drawing/2014/main" id="{1FCA901C-9A7A-4C30-BCA7-5C0840A65B5E}"/>
            </a:ext>
          </a:extLst>
        </xdr:cNvPr>
        <xdr:cNvSpPr/>
      </xdr:nvSpPr>
      <xdr:spPr>
        <a:xfrm>
          <a:off x="5849697" y="10275455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60</xdr:row>
      <xdr:rowOff>76970</xdr:rowOff>
    </xdr:from>
    <xdr:to>
      <xdr:col>8</xdr:col>
      <xdr:colOff>260600</xdr:colOff>
      <xdr:row>60</xdr:row>
      <xdr:rowOff>122055</xdr:rowOff>
    </xdr:to>
    <xdr:sp macro="" textlink="">
      <xdr:nvSpPr>
        <xdr:cNvPr id="211" name="Elipse 210">
          <a:extLst>
            <a:ext uri="{FF2B5EF4-FFF2-40B4-BE49-F238E27FC236}">
              <a16:creationId xmlns:a16="http://schemas.microsoft.com/office/drawing/2014/main" id="{49C26E5B-E8D1-4442-BEED-C248952B4C5F}"/>
            </a:ext>
          </a:extLst>
        </xdr:cNvPr>
        <xdr:cNvSpPr/>
      </xdr:nvSpPr>
      <xdr:spPr>
        <a:xfrm>
          <a:off x="5849697" y="11622425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63</xdr:row>
      <xdr:rowOff>76970</xdr:rowOff>
    </xdr:from>
    <xdr:to>
      <xdr:col>8</xdr:col>
      <xdr:colOff>260600</xdr:colOff>
      <xdr:row>63</xdr:row>
      <xdr:rowOff>122055</xdr:rowOff>
    </xdr:to>
    <xdr:sp macro="" textlink="">
      <xdr:nvSpPr>
        <xdr:cNvPr id="212" name="Elipse 211">
          <a:extLst>
            <a:ext uri="{FF2B5EF4-FFF2-40B4-BE49-F238E27FC236}">
              <a16:creationId xmlns:a16="http://schemas.microsoft.com/office/drawing/2014/main" id="{43AEB571-F85C-4890-9331-AC2610E1AE86}"/>
            </a:ext>
          </a:extLst>
        </xdr:cNvPr>
        <xdr:cNvSpPr/>
      </xdr:nvSpPr>
      <xdr:spPr>
        <a:xfrm>
          <a:off x="5849697" y="1219969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253997</xdr:colOff>
      <xdr:row>3</xdr:row>
      <xdr:rowOff>75876</xdr:rowOff>
    </xdr:from>
    <xdr:to>
      <xdr:col>9</xdr:col>
      <xdr:colOff>253997</xdr:colOff>
      <xdr:row>4</xdr:row>
      <xdr:rowOff>83573</xdr:rowOff>
    </xdr:to>
    <xdr:cxnSp macro="">
      <xdr:nvCxnSpPr>
        <xdr:cNvPr id="217" name="Conector recto 216">
          <a:extLst>
            <a:ext uri="{FF2B5EF4-FFF2-40B4-BE49-F238E27FC236}">
              <a16:creationId xmlns:a16="http://schemas.microsoft.com/office/drawing/2014/main" id="{4D7FE420-8F0B-F4F5-2747-1B05684A1121}"/>
            </a:ext>
          </a:extLst>
        </xdr:cNvPr>
        <xdr:cNvCxnSpPr>
          <a:stCxn id="165" idx="7"/>
          <a:endCxn id="163" idx="7"/>
        </xdr:cNvCxnSpPr>
      </xdr:nvCxnSpPr>
      <xdr:spPr>
        <a:xfrm flipH="1">
          <a:off x="5892797" y="656168"/>
          <a:ext cx="480646" cy="20112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</xdr:row>
      <xdr:rowOff>99513</xdr:rowOff>
    </xdr:from>
    <xdr:to>
      <xdr:col>8</xdr:col>
      <xdr:colOff>215515</xdr:colOff>
      <xdr:row>5</xdr:row>
      <xdr:rowOff>67563</xdr:rowOff>
    </xdr:to>
    <xdr:cxnSp macro="">
      <xdr:nvCxnSpPr>
        <xdr:cNvPr id="219" name="Conector recto 218">
          <a:extLst>
            <a:ext uri="{FF2B5EF4-FFF2-40B4-BE49-F238E27FC236}">
              <a16:creationId xmlns:a16="http://schemas.microsoft.com/office/drawing/2014/main" id="{44CD715A-E26A-B65D-7C9D-54D9BCD9A6C1}"/>
            </a:ext>
          </a:extLst>
        </xdr:cNvPr>
        <xdr:cNvCxnSpPr>
          <a:stCxn id="139" idx="7"/>
          <a:endCxn id="163" idx="2"/>
        </xdr:cNvCxnSpPr>
      </xdr:nvCxnSpPr>
      <xdr:spPr>
        <a:xfrm flipV="1">
          <a:off x="4934430" y="873236"/>
          <a:ext cx="919885" cy="16148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</xdr:row>
      <xdr:rowOff>83503</xdr:rowOff>
    </xdr:from>
    <xdr:to>
      <xdr:col>6</xdr:col>
      <xdr:colOff>263525</xdr:colOff>
      <xdr:row>6</xdr:row>
      <xdr:rowOff>67563</xdr:rowOff>
    </xdr:to>
    <xdr:cxnSp macro="">
      <xdr:nvCxnSpPr>
        <xdr:cNvPr id="221" name="Conector recto 220">
          <a:extLst>
            <a:ext uri="{FF2B5EF4-FFF2-40B4-BE49-F238E27FC236}">
              <a16:creationId xmlns:a16="http://schemas.microsoft.com/office/drawing/2014/main" id="{DA31DE76-800D-7453-F7B0-99C77D314027}"/>
            </a:ext>
          </a:extLst>
        </xdr:cNvPr>
        <xdr:cNvCxnSpPr>
          <a:stCxn id="140" idx="7"/>
          <a:endCxn id="139" idx="6"/>
        </xdr:cNvCxnSpPr>
      </xdr:nvCxnSpPr>
      <xdr:spPr>
        <a:xfrm flipV="1">
          <a:off x="4453784" y="1050657"/>
          <a:ext cx="487249" cy="17749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6</xdr:row>
      <xdr:rowOff>99442</xdr:rowOff>
    </xdr:from>
    <xdr:to>
      <xdr:col>6</xdr:col>
      <xdr:colOff>263525</xdr:colOff>
      <xdr:row>7</xdr:row>
      <xdr:rowOff>91200</xdr:rowOff>
    </xdr:to>
    <xdr:cxnSp macro="">
      <xdr:nvCxnSpPr>
        <xdr:cNvPr id="223" name="Conector recto 222">
          <a:extLst>
            <a:ext uri="{FF2B5EF4-FFF2-40B4-BE49-F238E27FC236}">
              <a16:creationId xmlns:a16="http://schemas.microsoft.com/office/drawing/2014/main" id="{7D1AA300-2005-D14A-72BA-9CA5D06B9D7C}"/>
            </a:ext>
          </a:extLst>
        </xdr:cNvPr>
        <xdr:cNvCxnSpPr>
          <a:stCxn id="141" idx="6"/>
          <a:endCxn id="140" idx="5"/>
        </xdr:cNvCxnSpPr>
      </xdr:nvCxnSpPr>
      <xdr:spPr>
        <a:xfrm flipH="1" flipV="1">
          <a:off x="4453784" y="1260027"/>
          <a:ext cx="487249" cy="18518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7</xdr:row>
      <xdr:rowOff>113742</xdr:rowOff>
    </xdr:from>
    <xdr:to>
      <xdr:col>6</xdr:col>
      <xdr:colOff>240983</xdr:colOff>
      <xdr:row>8</xdr:row>
      <xdr:rowOff>60960</xdr:rowOff>
    </xdr:to>
    <xdr:cxnSp macro="">
      <xdr:nvCxnSpPr>
        <xdr:cNvPr id="225" name="Conector recto 224">
          <a:extLst>
            <a:ext uri="{FF2B5EF4-FFF2-40B4-BE49-F238E27FC236}">
              <a16:creationId xmlns:a16="http://schemas.microsoft.com/office/drawing/2014/main" id="{CD935CC4-C585-BFA4-2E97-C5DB828EE269}"/>
            </a:ext>
          </a:extLst>
        </xdr:cNvPr>
        <xdr:cNvCxnSpPr>
          <a:stCxn id="142" idx="0"/>
          <a:endCxn id="141" idx="4"/>
        </xdr:cNvCxnSpPr>
      </xdr:nvCxnSpPr>
      <xdr:spPr>
        <a:xfrm flipV="1">
          <a:off x="4437845" y="1467757"/>
          <a:ext cx="480646" cy="14064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8</xdr:row>
      <xdr:rowOff>83503</xdr:rowOff>
    </xdr:from>
    <xdr:to>
      <xdr:col>6</xdr:col>
      <xdr:colOff>256922</xdr:colOff>
      <xdr:row>9</xdr:row>
      <xdr:rowOff>67563</xdr:rowOff>
    </xdr:to>
    <xdr:cxnSp macro="">
      <xdr:nvCxnSpPr>
        <xdr:cNvPr id="227" name="Conector recto 226">
          <a:extLst>
            <a:ext uri="{FF2B5EF4-FFF2-40B4-BE49-F238E27FC236}">
              <a16:creationId xmlns:a16="http://schemas.microsoft.com/office/drawing/2014/main" id="{5F7F85CF-D4CB-6396-4B0A-32ED1D91493C}"/>
            </a:ext>
          </a:extLst>
        </xdr:cNvPr>
        <xdr:cNvCxnSpPr>
          <a:stCxn id="143" idx="7"/>
          <a:endCxn id="142" idx="6"/>
        </xdr:cNvCxnSpPr>
      </xdr:nvCxnSpPr>
      <xdr:spPr>
        <a:xfrm flipH="1" flipV="1">
          <a:off x="4460387" y="1630949"/>
          <a:ext cx="474043" cy="17749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9</xdr:row>
      <xdr:rowOff>99442</xdr:rowOff>
    </xdr:from>
    <xdr:to>
      <xdr:col>6</xdr:col>
      <xdr:colOff>256922</xdr:colOff>
      <xdr:row>10</xdr:row>
      <xdr:rowOff>67563</xdr:rowOff>
    </xdr:to>
    <xdr:cxnSp macro="">
      <xdr:nvCxnSpPr>
        <xdr:cNvPr id="229" name="Conector recto 228">
          <a:extLst>
            <a:ext uri="{FF2B5EF4-FFF2-40B4-BE49-F238E27FC236}">
              <a16:creationId xmlns:a16="http://schemas.microsoft.com/office/drawing/2014/main" id="{4AD2B703-D372-C93C-3C59-AE644067D827}"/>
            </a:ext>
          </a:extLst>
        </xdr:cNvPr>
        <xdr:cNvCxnSpPr>
          <a:stCxn id="144" idx="7"/>
          <a:endCxn id="143" idx="5"/>
        </xdr:cNvCxnSpPr>
      </xdr:nvCxnSpPr>
      <xdr:spPr>
        <a:xfrm flipV="1">
          <a:off x="4453784" y="1840319"/>
          <a:ext cx="480646" cy="16155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10</xdr:row>
      <xdr:rowOff>67563</xdr:rowOff>
    </xdr:from>
    <xdr:to>
      <xdr:col>6</xdr:col>
      <xdr:colOff>240983</xdr:colOff>
      <xdr:row>11</xdr:row>
      <xdr:rowOff>60960</xdr:rowOff>
    </xdr:to>
    <xdr:cxnSp macro="">
      <xdr:nvCxnSpPr>
        <xdr:cNvPr id="232" name="Conector recto 231">
          <a:extLst>
            <a:ext uri="{FF2B5EF4-FFF2-40B4-BE49-F238E27FC236}">
              <a16:creationId xmlns:a16="http://schemas.microsoft.com/office/drawing/2014/main" id="{1032A80A-1A1C-3CF4-F281-BB25B5B00EAB}"/>
            </a:ext>
          </a:extLst>
        </xdr:cNvPr>
        <xdr:cNvCxnSpPr>
          <a:stCxn id="145" idx="0"/>
          <a:endCxn id="144" idx="6"/>
        </xdr:cNvCxnSpPr>
      </xdr:nvCxnSpPr>
      <xdr:spPr>
        <a:xfrm flipH="1" flipV="1">
          <a:off x="4453784" y="2001871"/>
          <a:ext cx="464707" cy="18682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11</xdr:row>
      <xdr:rowOff>106045</xdr:rowOff>
    </xdr:from>
    <xdr:to>
      <xdr:col>6</xdr:col>
      <xdr:colOff>240983</xdr:colOff>
      <xdr:row>12</xdr:row>
      <xdr:rowOff>99442</xdr:rowOff>
    </xdr:to>
    <xdr:cxnSp macro="">
      <xdr:nvCxnSpPr>
        <xdr:cNvPr id="234" name="Conector recto 233">
          <a:extLst>
            <a:ext uri="{FF2B5EF4-FFF2-40B4-BE49-F238E27FC236}">
              <a16:creationId xmlns:a16="http://schemas.microsoft.com/office/drawing/2014/main" id="{89DF5CFE-153E-3650-8A0B-0320794E60A4}"/>
            </a:ext>
          </a:extLst>
        </xdr:cNvPr>
        <xdr:cNvCxnSpPr>
          <a:stCxn id="146" idx="5"/>
          <a:endCxn id="145" idx="4"/>
        </xdr:cNvCxnSpPr>
      </xdr:nvCxnSpPr>
      <xdr:spPr>
        <a:xfrm flipV="1">
          <a:off x="4453784" y="2233783"/>
          <a:ext cx="464707" cy="186828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12</xdr:row>
      <xdr:rowOff>99442</xdr:rowOff>
    </xdr:from>
    <xdr:to>
      <xdr:col>6</xdr:col>
      <xdr:colOff>225043</xdr:colOff>
      <xdr:row>13</xdr:row>
      <xdr:rowOff>67563</xdr:rowOff>
    </xdr:to>
    <xdr:cxnSp macro="">
      <xdr:nvCxnSpPr>
        <xdr:cNvPr id="236" name="Conector recto 235">
          <a:extLst>
            <a:ext uri="{FF2B5EF4-FFF2-40B4-BE49-F238E27FC236}">
              <a16:creationId xmlns:a16="http://schemas.microsoft.com/office/drawing/2014/main" id="{C7C102FB-65FA-4122-77FC-6CE401E620E8}"/>
            </a:ext>
          </a:extLst>
        </xdr:cNvPr>
        <xdr:cNvCxnSpPr>
          <a:stCxn id="147" idx="1"/>
          <a:endCxn id="146" idx="5"/>
        </xdr:cNvCxnSpPr>
      </xdr:nvCxnSpPr>
      <xdr:spPr>
        <a:xfrm flipH="1" flipV="1">
          <a:off x="4453784" y="2420611"/>
          <a:ext cx="448767" cy="16155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14</xdr:row>
      <xdr:rowOff>99513</xdr:rowOff>
    </xdr:from>
    <xdr:to>
      <xdr:col>8</xdr:col>
      <xdr:colOff>260600</xdr:colOff>
      <xdr:row>15</xdr:row>
      <xdr:rowOff>83503</xdr:rowOff>
    </xdr:to>
    <xdr:cxnSp macro="">
      <xdr:nvCxnSpPr>
        <xdr:cNvPr id="238" name="Conector recto 237">
          <a:extLst>
            <a:ext uri="{FF2B5EF4-FFF2-40B4-BE49-F238E27FC236}">
              <a16:creationId xmlns:a16="http://schemas.microsoft.com/office/drawing/2014/main" id="{AD8C76EA-7E15-4E83-D71B-ED1C8164D316}"/>
            </a:ext>
          </a:extLst>
        </xdr:cNvPr>
        <xdr:cNvCxnSpPr>
          <a:stCxn id="150" idx="6"/>
          <a:endCxn id="162" idx="6"/>
        </xdr:cNvCxnSpPr>
      </xdr:nvCxnSpPr>
      <xdr:spPr>
        <a:xfrm flipV="1">
          <a:off x="4941033" y="2807544"/>
          <a:ext cx="958367" cy="1774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13</xdr:row>
      <xdr:rowOff>83503</xdr:rowOff>
    </xdr:from>
    <xdr:to>
      <xdr:col>8</xdr:col>
      <xdr:colOff>253997</xdr:colOff>
      <xdr:row>14</xdr:row>
      <xdr:rowOff>115452</xdr:rowOff>
    </xdr:to>
    <xdr:cxnSp macro="">
      <xdr:nvCxnSpPr>
        <xdr:cNvPr id="240" name="Conector recto 239">
          <a:extLst>
            <a:ext uri="{FF2B5EF4-FFF2-40B4-BE49-F238E27FC236}">
              <a16:creationId xmlns:a16="http://schemas.microsoft.com/office/drawing/2014/main" id="{8173A8CB-CDB1-6813-2F87-536B44275928}"/>
            </a:ext>
          </a:extLst>
        </xdr:cNvPr>
        <xdr:cNvCxnSpPr>
          <a:stCxn id="147" idx="6"/>
          <a:endCxn id="162" idx="5"/>
        </xdr:cNvCxnSpPr>
      </xdr:nvCxnSpPr>
      <xdr:spPr>
        <a:xfrm>
          <a:off x="4941033" y="2598103"/>
          <a:ext cx="951764" cy="2253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15</xdr:row>
      <xdr:rowOff>83503</xdr:rowOff>
    </xdr:from>
    <xdr:to>
      <xdr:col>9</xdr:col>
      <xdr:colOff>253997</xdr:colOff>
      <xdr:row>16</xdr:row>
      <xdr:rowOff>107755</xdr:rowOff>
    </xdr:to>
    <xdr:cxnSp macro="">
      <xdr:nvCxnSpPr>
        <xdr:cNvPr id="242" name="Conector recto 241">
          <a:extLst>
            <a:ext uri="{FF2B5EF4-FFF2-40B4-BE49-F238E27FC236}">
              <a16:creationId xmlns:a16="http://schemas.microsoft.com/office/drawing/2014/main" id="{5E95D61B-34FF-DCC4-4550-29A964921E29}"/>
            </a:ext>
          </a:extLst>
        </xdr:cNvPr>
        <xdr:cNvCxnSpPr>
          <a:stCxn id="191" idx="5"/>
          <a:endCxn id="150" idx="5"/>
        </xdr:cNvCxnSpPr>
      </xdr:nvCxnSpPr>
      <xdr:spPr>
        <a:xfrm flipH="1" flipV="1">
          <a:off x="4941033" y="2984965"/>
          <a:ext cx="1432410" cy="21768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225043</xdr:colOff>
      <xdr:row>17</xdr:row>
      <xdr:rowOff>91200</xdr:rowOff>
    </xdr:from>
    <xdr:to>
      <xdr:col>8</xdr:col>
      <xdr:colOff>218440</xdr:colOff>
      <xdr:row>18</xdr:row>
      <xdr:rowOff>99442</xdr:rowOff>
    </xdr:to>
    <xdr:cxnSp macro="">
      <xdr:nvCxnSpPr>
        <xdr:cNvPr id="246" name="Conector recto 245">
          <a:extLst>
            <a:ext uri="{FF2B5EF4-FFF2-40B4-BE49-F238E27FC236}">
              <a16:creationId xmlns:a16="http://schemas.microsoft.com/office/drawing/2014/main" id="{69CADDF0-08A2-C8AF-540F-FD5F8E167C4D}"/>
            </a:ext>
          </a:extLst>
        </xdr:cNvPr>
        <xdr:cNvCxnSpPr>
          <a:stCxn id="153" idx="3"/>
          <a:endCxn id="152" idx="2"/>
        </xdr:cNvCxnSpPr>
      </xdr:nvCxnSpPr>
      <xdr:spPr>
        <a:xfrm flipV="1">
          <a:off x="4900524" y="3289719"/>
          <a:ext cx="952953" cy="19639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18</xdr:row>
      <xdr:rowOff>99442</xdr:rowOff>
    </xdr:from>
    <xdr:to>
      <xdr:col>6</xdr:col>
      <xdr:colOff>225043</xdr:colOff>
      <xdr:row>19</xdr:row>
      <xdr:rowOff>67563</xdr:rowOff>
    </xdr:to>
    <xdr:cxnSp macro="">
      <xdr:nvCxnSpPr>
        <xdr:cNvPr id="248" name="Conector recto 247">
          <a:extLst>
            <a:ext uri="{FF2B5EF4-FFF2-40B4-BE49-F238E27FC236}">
              <a16:creationId xmlns:a16="http://schemas.microsoft.com/office/drawing/2014/main" id="{75ABCDB5-69AE-6D6E-27A0-63C57E35A24F}"/>
            </a:ext>
          </a:extLst>
        </xdr:cNvPr>
        <xdr:cNvCxnSpPr>
          <a:stCxn id="154" idx="7"/>
          <a:endCxn id="153" idx="3"/>
        </xdr:cNvCxnSpPr>
      </xdr:nvCxnSpPr>
      <xdr:spPr>
        <a:xfrm flipV="1">
          <a:off x="4452626" y="3486109"/>
          <a:ext cx="447898" cy="15626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19</xdr:row>
      <xdr:rowOff>106045</xdr:rowOff>
    </xdr:from>
    <xdr:to>
      <xdr:col>6</xdr:col>
      <xdr:colOff>225043</xdr:colOff>
      <xdr:row>20</xdr:row>
      <xdr:rowOff>67563</xdr:rowOff>
    </xdr:to>
    <xdr:cxnSp macro="">
      <xdr:nvCxnSpPr>
        <xdr:cNvPr id="250" name="Conector recto 249">
          <a:extLst>
            <a:ext uri="{FF2B5EF4-FFF2-40B4-BE49-F238E27FC236}">
              <a16:creationId xmlns:a16="http://schemas.microsoft.com/office/drawing/2014/main" id="{599DBC17-811D-AD24-C6CE-1744938DEBF2}"/>
            </a:ext>
          </a:extLst>
        </xdr:cNvPr>
        <xdr:cNvCxnSpPr>
          <a:stCxn id="155" idx="1"/>
          <a:endCxn id="154" idx="4"/>
        </xdr:cNvCxnSpPr>
      </xdr:nvCxnSpPr>
      <xdr:spPr>
        <a:xfrm flipH="1" flipV="1">
          <a:off x="4436687" y="3680860"/>
          <a:ext cx="463837" cy="14966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21</xdr:row>
      <xdr:rowOff>67563</xdr:rowOff>
    </xdr:from>
    <xdr:to>
      <xdr:col>6</xdr:col>
      <xdr:colOff>240983</xdr:colOff>
      <xdr:row>22</xdr:row>
      <xdr:rowOff>106045</xdr:rowOff>
    </xdr:to>
    <xdr:cxnSp macro="">
      <xdr:nvCxnSpPr>
        <xdr:cNvPr id="252" name="Conector recto 251">
          <a:extLst>
            <a:ext uri="{FF2B5EF4-FFF2-40B4-BE49-F238E27FC236}">
              <a16:creationId xmlns:a16="http://schemas.microsoft.com/office/drawing/2014/main" id="{E4BF993F-444E-1E92-4E88-042CD0404447}"/>
            </a:ext>
          </a:extLst>
        </xdr:cNvPr>
        <xdr:cNvCxnSpPr>
          <a:stCxn id="157" idx="4"/>
          <a:endCxn id="156" idx="1"/>
        </xdr:cNvCxnSpPr>
      </xdr:nvCxnSpPr>
      <xdr:spPr>
        <a:xfrm flipH="1" flipV="1">
          <a:off x="4420747" y="4018674"/>
          <a:ext cx="495717" cy="22663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20</xdr:row>
      <xdr:rowOff>99442</xdr:rowOff>
    </xdr:from>
    <xdr:to>
      <xdr:col>6</xdr:col>
      <xdr:colOff>256922</xdr:colOff>
      <xdr:row>21</xdr:row>
      <xdr:rowOff>67563</xdr:rowOff>
    </xdr:to>
    <xdr:cxnSp macro="">
      <xdr:nvCxnSpPr>
        <xdr:cNvPr id="254" name="Conector recto 253">
          <a:extLst>
            <a:ext uri="{FF2B5EF4-FFF2-40B4-BE49-F238E27FC236}">
              <a16:creationId xmlns:a16="http://schemas.microsoft.com/office/drawing/2014/main" id="{879E8C7B-CE3E-6262-AA06-B55CDFA6DE5F}"/>
            </a:ext>
          </a:extLst>
        </xdr:cNvPr>
        <xdr:cNvCxnSpPr>
          <a:stCxn id="155" idx="5"/>
          <a:endCxn id="156" idx="7"/>
        </xdr:cNvCxnSpPr>
      </xdr:nvCxnSpPr>
      <xdr:spPr>
        <a:xfrm flipH="1">
          <a:off x="4452626" y="3862405"/>
          <a:ext cx="479777" cy="15626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218440</xdr:colOff>
      <xdr:row>23</xdr:row>
      <xdr:rowOff>83503</xdr:rowOff>
    </xdr:from>
    <xdr:to>
      <xdr:col>6</xdr:col>
      <xdr:colOff>256922</xdr:colOff>
      <xdr:row>24</xdr:row>
      <xdr:rowOff>99442</xdr:rowOff>
    </xdr:to>
    <xdr:cxnSp macro="">
      <xdr:nvCxnSpPr>
        <xdr:cNvPr id="256" name="Conector recto 255">
          <a:extLst>
            <a:ext uri="{FF2B5EF4-FFF2-40B4-BE49-F238E27FC236}">
              <a16:creationId xmlns:a16="http://schemas.microsoft.com/office/drawing/2014/main" id="{7F05E9FB-7514-E6F9-A9D2-8B3497AC748A}"/>
            </a:ext>
          </a:extLst>
        </xdr:cNvPr>
        <xdr:cNvCxnSpPr>
          <a:stCxn id="159" idx="5"/>
          <a:endCxn id="158" idx="2"/>
        </xdr:cNvCxnSpPr>
      </xdr:nvCxnSpPr>
      <xdr:spPr>
        <a:xfrm flipH="1" flipV="1">
          <a:off x="4414144" y="4410910"/>
          <a:ext cx="518259" cy="20408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22</xdr:row>
      <xdr:rowOff>99442</xdr:rowOff>
    </xdr:from>
    <xdr:to>
      <xdr:col>6</xdr:col>
      <xdr:colOff>256922</xdr:colOff>
      <xdr:row>23</xdr:row>
      <xdr:rowOff>99442</xdr:rowOff>
    </xdr:to>
    <xdr:cxnSp macro="">
      <xdr:nvCxnSpPr>
        <xdr:cNvPr id="258" name="Conector recto 257">
          <a:extLst>
            <a:ext uri="{FF2B5EF4-FFF2-40B4-BE49-F238E27FC236}">
              <a16:creationId xmlns:a16="http://schemas.microsoft.com/office/drawing/2014/main" id="{001C3019-08BA-4C84-D015-888D706D2BD4}"/>
            </a:ext>
          </a:extLst>
        </xdr:cNvPr>
        <xdr:cNvCxnSpPr>
          <a:stCxn id="157" idx="5"/>
          <a:endCxn id="158" idx="3"/>
        </xdr:cNvCxnSpPr>
      </xdr:nvCxnSpPr>
      <xdr:spPr>
        <a:xfrm flipH="1">
          <a:off x="4420747" y="4238701"/>
          <a:ext cx="511656" cy="18814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24</xdr:row>
      <xdr:rowOff>83503</xdr:rowOff>
    </xdr:from>
    <xdr:to>
      <xdr:col>6</xdr:col>
      <xdr:colOff>218440</xdr:colOff>
      <xdr:row>25</xdr:row>
      <xdr:rowOff>99442</xdr:rowOff>
    </xdr:to>
    <xdr:cxnSp macro="">
      <xdr:nvCxnSpPr>
        <xdr:cNvPr id="260" name="Conector recto 259">
          <a:extLst>
            <a:ext uri="{FF2B5EF4-FFF2-40B4-BE49-F238E27FC236}">
              <a16:creationId xmlns:a16="http://schemas.microsoft.com/office/drawing/2014/main" id="{9B458CA6-2FCE-15E9-8308-C1BEAC027A0C}"/>
            </a:ext>
          </a:extLst>
        </xdr:cNvPr>
        <xdr:cNvCxnSpPr>
          <a:stCxn id="160" idx="5"/>
          <a:endCxn id="159" idx="2"/>
        </xdr:cNvCxnSpPr>
      </xdr:nvCxnSpPr>
      <xdr:spPr>
        <a:xfrm flipV="1">
          <a:off x="4452626" y="4599059"/>
          <a:ext cx="441295" cy="20408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25</xdr:row>
      <xdr:rowOff>83503</xdr:rowOff>
    </xdr:from>
    <xdr:to>
      <xdr:col>8</xdr:col>
      <xdr:colOff>238058</xdr:colOff>
      <xdr:row>26</xdr:row>
      <xdr:rowOff>122055</xdr:rowOff>
    </xdr:to>
    <xdr:cxnSp macro="">
      <xdr:nvCxnSpPr>
        <xdr:cNvPr id="262" name="Conector recto 261">
          <a:extLst>
            <a:ext uri="{FF2B5EF4-FFF2-40B4-BE49-F238E27FC236}">
              <a16:creationId xmlns:a16="http://schemas.microsoft.com/office/drawing/2014/main" id="{06E08A50-A931-251D-4C5A-EE1607ECA7BA}"/>
            </a:ext>
          </a:extLst>
        </xdr:cNvPr>
        <xdr:cNvCxnSpPr>
          <a:stCxn id="160" idx="6"/>
          <a:endCxn id="161" idx="4"/>
        </xdr:cNvCxnSpPr>
      </xdr:nvCxnSpPr>
      <xdr:spPr>
        <a:xfrm>
          <a:off x="4459229" y="4787207"/>
          <a:ext cx="1413866" cy="2267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26</xdr:row>
      <xdr:rowOff>99513</xdr:rowOff>
    </xdr:from>
    <xdr:to>
      <xdr:col>8</xdr:col>
      <xdr:colOff>260600</xdr:colOff>
      <xdr:row>27</xdr:row>
      <xdr:rowOff>67563</xdr:rowOff>
    </xdr:to>
    <xdr:cxnSp macro="">
      <xdr:nvCxnSpPr>
        <xdr:cNvPr id="264" name="Conector recto 263">
          <a:extLst>
            <a:ext uri="{FF2B5EF4-FFF2-40B4-BE49-F238E27FC236}">
              <a16:creationId xmlns:a16="http://schemas.microsoft.com/office/drawing/2014/main" id="{40FCA3D6-F9E1-3A16-A9AC-1E85C41A0788}"/>
            </a:ext>
          </a:extLst>
        </xdr:cNvPr>
        <xdr:cNvCxnSpPr>
          <a:stCxn id="164" idx="7"/>
          <a:endCxn id="161" idx="6"/>
        </xdr:cNvCxnSpPr>
      </xdr:nvCxnSpPr>
      <xdr:spPr>
        <a:xfrm flipV="1">
          <a:off x="4934430" y="5128713"/>
          <a:ext cx="964970" cy="16148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27</xdr:row>
      <xdr:rowOff>99442</xdr:rowOff>
    </xdr:from>
    <xdr:to>
      <xdr:col>6</xdr:col>
      <xdr:colOff>225043</xdr:colOff>
      <xdr:row>28</xdr:row>
      <xdr:rowOff>99442</xdr:rowOff>
    </xdr:to>
    <xdr:cxnSp macro="">
      <xdr:nvCxnSpPr>
        <xdr:cNvPr id="266" name="Conector recto 265">
          <a:extLst>
            <a:ext uri="{FF2B5EF4-FFF2-40B4-BE49-F238E27FC236}">
              <a16:creationId xmlns:a16="http://schemas.microsoft.com/office/drawing/2014/main" id="{2C8F4F56-779F-F23B-67A7-4635C23E433A}"/>
            </a:ext>
          </a:extLst>
        </xdr:cNvPr>
        <xdr:cNvCxnSpPr>
          <a:stCxn id="166" idx="3"/>
          <a:endCxn id="164" idx="3"/>
        </xdr:cNvCxnSpPr>
      </xdr:nvCxnSpPr>
      <xdr:spPr>
        <a:xfrm flipV="1">
          <a:off x="4421905" y="5322073"/>
          <a:ext cx="480646" cy="19343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28</xdr:row>
      <xdr:rowOff>83503</xdr:rowOff>
    </xdr:from>
    <xdr:to>
      <xdr:col>7</xdr:col>
      <xdr:colOff>252903</xdr:colOff>
      <xdr:row>29</xdr:row>
      <xdr:rowOff>84119</xdr:rowOff>
    </xdr:to>
    <xdr:cxnSp macro="">
      <xdr:nvCxnSpPr>
        <xdr:cNvPr id="268" name="Conector recto 267">
          <a:extLst>
            <a:ext uri="{FF2B5EF4-FFF2-40B4-BE49-F238E27FC236}">
              <a16:creationId xmlns:a16="http://schemas.microsoft.com/office/drawing/2014/main" id="{4B52EBD0-A0E5-DD0E-7602-61FE8DD85281}"/>
            </a:ext>
          </a:extLst>
        </xdr:cNvPr>
        <xdr:cNvCxnSpPr>
          <a:stCxn id="167" idx="6"/>
          <a:endCxn id="166" idx="5"/>
        </xdr:cNvCxnSpPr>
      </xdr:nvCxnSpPr>
      <xdr:spPr>
        <a:xfrm flipH="1" flipV="1">
          <a:off x="4460387" y="5499565"/>
          <a:ext cx="950670" cy="19404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252903</xdr:colOff>
      <xdr:row>29</xdr:row>
      <xdr:rowOff>84119</xdr:rowOff>
    </xdr:from>
    <xdr:to>
      <xdr:col>8</xdr:col>
      <xdr:colOff>260600</xdr:colOff>
      <xdr:row>30</xdr:row>
      <xdr:rowOff>99513</xdr:rowOff>
    </xdr:to>
    <xdr:cxnSp macro="">
      <xdr:nvCxnSpPr>
        <xdr:cNvPr id="270" name="Conector recto 269">
          <a:extLst>
            <a:ext uri="{FF2B5EF4-FFF2-40B4-BE49-F238E27FC236}">
              <a16:creationId xmlns:a16="http://schemas.microsoft.com/office/drawing/2014/main" id="{1E0036D8-0C41-49F4-9611-8F1D0883BFE6}"/>
            </a:ext>
          </a:extLst>
        </xdr:cNvPr>
        <xdr:cNvCxnSpPr>
          <a:stCxn id="168" idx="6"/>
          <a:endCxn id="167" idx="6"/>
        </xdr:cNvCxnSpPr>
      </xdr:nvCxnSpPr>
      <xdr:spPr>
        <a:xfrm flipH="1" flipV="1">
          <a:off x="5411057" y="5693611"/>
          <a:ext cx="488343" cy="20882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240983</xdr:colOff>
      <xdr:row>30</xdr:row>
      <xdr:rowOff>99513</xdr:rowOff>
    </xdr:from>
    <xdr:to>
      <xdr:col>8</xdr:col>
      <xdr:colOff>260600</xdr:colOff>
      <xdr:row>31</xdr:row>
      <xdr:rowOff>60960</xdr:rowOff>
    </xdr:to>
    <xdr:cxnSp macro="">
      <xdr:nvCxnSpPr>
        <xdr:cNvPr id="272" name="Conector recto 271">
          <a:extLst>
            <a:ext uri="{FF2B5EF4-FFF2-40B4-BE49-F238E27FC236}">
              <a16:creationId xmlns:a16="http://schemas.microsoft.com/office/drawing/2014/main" id="{395D1966-674B-0614-BB8B-FEC8067C56BB}"/>
            </a:ext>
          </a:extLst>
        </xdr:cNvPr>
        <xdr:cNvCxnSpPr>
          <a:stCxn id="169" idx="0"/>
          <a:endCxn id="168" idx="6"/>
        </xdr:cNvCxnSpPr>
      </xdr:nvCxnSpPr>
      <xdr:spPr>
        <a:xfrm flipV="1">
          <a:off x="4918491" y="5902436"/>
          <a:ext cx="980909" cy="15487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31</xdr:row>
      <xdr:rowOff>83503</xdr:rowOff>
    </xdr:from>
    <xdr:to>
      <xdr:col>9</xdr:col>
      <xdr:colOff>253997</xdr:colOff>
      <xdr:row>32</xdr:row>
      <xdr:rowOff>75876</xdr:rowOff>
    </xdr:to>
    <xdr:cxnSp macro="">
      <xdr:nvCxnSpPr>
        <xdr:cNvPr id="274" name="Conector recto 273">
          <a:extLst>
            <a:ext uri="{FF2B5EF4-FFF2-40B4-BE49-F238E27FC236}">
              <a16:creationId xmlns:a16="http://schemas.microsoft.com/office/drawing/2014/main" id="{F843F0DD-491F-91F0-4413-EAFB66265ADF}"/>
            </a:ext>
          </a:extLst>
        </xdr:cNvPr>
        <xdr:cNvCxnSpPr>
          <a:stCxn id="190" idx="7"/>
          <a:endCxn id="169" idx="6"/>
        </xdr:cNvCxnSpPr>
      </xdr:nvCxnSpPr>
      <xdr:spPr>
        <a:xfrm flipH="1" flipV="1">
          <a:off x="4941033" y="6079857"/>
          <a:ext cx="1432410" cy="185804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32</xdr:row>
      <xdr:rowOff>91816</xdr:rowOff>
    </xdr:from>
    <xdr:to>
      <xdr:col>9</xdr:col>
      <xdr:colOff>260600</xdr:colOff>
      <xdr:row>33</xdr:row>
      <xdr:rowOff>99442</xdr:rowOff>
    </xdr:to>
    <xdr:cxnSp macro="">
      <xdr:nvCxnSpPr>
        <xdr:cNvPr id="276" name="Conector recto 275">
          <a:extLst>
            <a:ext uri="{FF2B5EF4-FFF2-40B4-BE49-F238E27FC236}">
              <a16:creationId xmlns:a16="http://schemas.microsoft.com/office/drawing/2014/main" id="{AAC78AE6-0CA1-3425-D74A-5E65E4742123}"/>
            </a:ext>
          </a:extLst>
        </xdr:cNvPr>
        <xdr:cNvCxnSpPr>
          <a:stCxn id="171" idx="5"/>
          <a:endCxn id="190" idx="6"/>
        </xdr:cNvCxnSpPr>
      </xdr:nvCxnSpPr>
      <xdr:spPr>
        <a:xfrm flipV="1">
          <a:off x="4934430" y="6281601"/>
          <a:ext cx="1445616" cy="20105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33</xdr:row>
      <xdr:rowOff>106045</xdr:rowOff>
    </xdr:from>
    <xdr:to>
      <xdr:col>6</xdr:col>
      <xdr:colOff>240983</xdr:colOff>
      <xdr:row>34</xdr:row>
      <xdr:rowOff>83503</xdr:rowOff>
    </xdr:to>
    <xdr:cxnSp macro="">
      <xdr:nvCxnSpPr>
        <xdr:cNvPr id="278" name="Conector recto 277">
          <a:extLst>
            <a:ext uri="{FF2B5EF4-FFF2-40B4-BE49-F238E27FC236}">
              <a16:creationId xmlns:a16="http://schemas.microsoft.com/office/drawing/2014/main" id="{7072EC1D-6E62-31D2-8142-D3AEC21AF96B}"/>
            </a:ext>
          </a:extLst>
        </xdr:cNvPr>
        <xdr:cNvCxnSpPr>
          <a:stCxn id="172" idx="6"/>
          <a:endCxn id="171" idx="4"/>
        </xdr:cNvCxnSpPr>
      </xdr:nvCxnSpPr>
      <xdr:spPr>
        <a:xfrm flipV="1">
          <a:off x="4460387" y="6489260"/>
          <a:ext cx="458104" cy="17088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34</xdr:row>
      <xdr:rowOff>99442</xdr:rowOff>
    </xdr:from>
    <xdr:to>
      <xdr:col>6</xdr:col>
      <xdr:colOff>263525</xdr:colOff>
      <xdr:row>35</xdr:row>
      <xdr:rowOff>83503</xdr:rowOff>
    </xdr:to>
    <xdr:cxnSp macro="">
      <xdr:nvCxnSpPr>
        <xdr:cNvPr id="280" name="Conector recto 279">
          <a:extLst>
            <a:ext uri="{FF2B5EF4-FFF2-40B4-BE49-F238E27FC236}">
              <a16:creationId xmlns:a16="http://schemas.microsoft.com/office/drawing/2014/main" id="{42195C49-2F4C-3B61-56AE-CF9420B6DA5E}"/>
            </a:ext>
          </a:extLst>
        </xdr:cNvPr>
        <xdr:cNvCxnSpPr>
          <a:stCxn id="173" idx="6"/>
          <a:endCxn id="172" idx="5"/>
        </xdr:cNvCxnSpPr>
      </xdr:nvCxnSpPr>
      <xdr:spPr>
        <a:xfrm flipH="1" flipV="1">
          <a:off x="4453784" y="6676088"/>
          <a:ext cx="487249" cy="17749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35</xdr:row>
      <xdr:rowOff>99442</xdr:rowOff>
    </xdr:from>
    <xdr:to>
      <xdr:col>6</xdr:col>
      <xdr:colOff>225043</xdr:colOff>
      <xdr:row>36</xdr:row>
      <xdr:rowOff>67563</xdr:rowOff>
    </xdr:to>
    <xdr:cxnSp macro="">
      <xdr:nvCxnSpPr>
        <xdr:cNvPr id="282" name="Conector recto 281">
          <a:extLst>
            <a:ext uri="{FF2B5EF4-FFF2-40B4-BE49-F238E27FC236}">
              <a16:creationId xmlns:a16="http://schemas.microsoft.com/office/drawing/2014/main" id="{C5C0E648-5D2C-4759-E8C7-E7140F172858}"/>
            </a:ext>
          </a:extLst>
        </xdr:cNvPr>
        <xdr:cNvCxnSpPr>
          <a:stCxn id="174" idx="1"/>
          <a:endCxn id="173" idx="3"/>
        </xdr:cNvCxnSpPr>
      </xdr:nvCxnSpPr>
      <xdr:spPr>
        <a:xfrm flipV="1">
          <a:off x="4421905" y="6869519"/>
          <a:ext cx="480646" cy="16155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36</xdr:row>
      <xdr:rowOff>83503</xdr:rowOff>
    </xdr:from>
    <xdr:to>
      <xdr:col>7</xdr:col>
      <xdr:colOff>252903</xdr:colOff>
      <xdr:row>37</xdr:row>
      <xdr:rowOff>84119</xdr:rowOff>
    </xdr:to>
    <xdr:cxnSp macro="">
      <xdr:nvCxnSpPr>
        <xdr:cNvPr id="284" name="Conector recto 283">
          <a:extLst>
            <a:ext uri="{FF2B5EF4-FFF2-40B4-BE49-F238E27FC236}">
              <a16:creationId xmlns:a16="http://schemas.microsoft.com/office/drawing/2014/main" id="{F2451EB3-5345-A510-164D-B96FD26F7192}"/>
            </a:ext>
          </a:extLst>
        </xdr:cNvPr>
        <xdr:cNvCxnSpPr>
          <a:stCxn id="175" idx="6"/>
          <a:endCxn id="174" idx="6"/>
        </xdr:cNvCxnSpPr>
      </xdr:nvCxnSpPr>
      <xdr:spPr>
        <a:xfrm flipH="1" flipV="1">
          <a:off x="4460387" y="7047011"/>
          <a:ext cx="950670" cy="19404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37</xdr:row>
      <xdr:rowOff>100058</xdr:rowOff>
    </xdr:from>
    <xdr:to>
      <xdr:col>7</xdr:col>
      <xdr:colOff>246300</xdr:colOff>
      <xdr:row>38</xdr:row>
      <xdr:rowOff>67563</xdr:rowOff>
    </xdr:to>
    <xdr:cxnSp macro="">
      <xdr:nvCxnSpPr>
        <xdr:cNvPr id="286" name="Conector recto 285">
          <a:extLst>
            <a:ext uri="{FF2B5EF4-FFF2-40B4-BE49-F238E27FC236}">
              <a16:creationId xmlns:a16="http://schemas.microsoft.com/office/drawing/2014/main" id="{7E20AE81-3AEF-E579-A2C0-AF7301F7A71F}"/>
            </a:ext>
          </a:extLst>
        </xdr:cNvPr>
        <xdr:cNvCxnSpPr>
          <a:stCxn id="176" idx="7"/>
          <a:endCxn id="175" idx="5"/>
        </xdr:cNvCxnSpPr>
      </xdr:nvCxnSpPr>
      <xdr:spPr>
        <a:xfrm flipV="1">
          <a:off x="4934430" y="7256996"/>
          <a:ext cx="470024" cy="16093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38</xdr:row>
      <xdr:rowOff>106045</xdr:rowOff>
    </xdr:from>
    <xdr:to>
      <xdr:col>6</xdr:col>
      <xdr:colOff>240983</xdr:colOff>
      <xdr:row>39</xdr:row>
      <xdr:rowOff>60960</xdr:rowOff>
    </xdr:to>
    <xdr:cxnSp macro="">
      <xdr:nvCxnSpPr>
        <xdr:cNvPr id="288" name="Conector recto 287">
          <a:extLst>
            <a:ext uri="{FF2B5EF4-FFF2-40B4-BE49-F238E27FC236}">
              <a16:creationId xmlns:a16="http://schemas.microsoft.com/office/drawing/2014/main" id="{C8DFDE0E-0001-4B84-8A93-58DB7370F03C}"/>
            </a:ext>
          </a:extLst>
        </xdr:cNvPr>
        <xdr:cNvCxnSpPr>
          <a:stCxn id="177" idx="0"/>
          <a:endCxn id="176" idx="3"/>
        </xdr:cNvCxnSpPr>
      </xdr:nvCxnSpPr>
      <xdr:spPr>
        <a:xfrm flipV="1">
          <a:off x="4437845" y="7456414"/>
          <a:ext cx="480646" cy="14834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39</xdr:row>
      <xdr:rowOff>106045</xdr:rowOff>
    </xdr:from>
    <xdr:to>
      <xdr:col>8</xdr:col>
      <xdr:colOff>260600</xdr:colOff>
      <xdr:row>40</xdr:row>
      <xdr:rowOff>99513</xdr:rowOff>
    </xdr:to>
    <xdr:cxnSp macro="">
      <xdr:nvCxnSpPr>
        <xdr:cNvPr id="290" name="Conector recto 289">
          <a:extLst>
            <a:ext uri="{FF2B5EF4-FFF2-40B4-BE49-F238E27FC236}">
              <a16:creationId xmlns:a16="http://schemas.microsoft.com/office/drawing/2014/main" id="{48E583C8-3096-D97F-576F-2069DF40F55D}"/>
            </a:ext>
          </a:extLst>
        </xdr:cNvPr>
        <xdr:cNvCxnSpPr>
          <a:stCxn id="207" idx="6"/>
          <a:endCxn id="177" idx="4"/>
        </xdr:cNvCxnSpPr>
      </xdr:nvCxnSpPr>
      <xdr:spPr>
        <a:xfrm flipH="1" flipV="1">
          <a:off x="4437845" y="7649845"/>
          <a:ext cx="1461555" cy="18689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225043</xdr:colOff>
      <xdr:row>40</xdr:row>
      <xdr:rowOff>99513</xdr:rowOff>
    </xdr:from>
    <xdr:to>
      <xdr:col>8</xdr:col>
      <xdr:colOff>260600</xdr:colOff>
      <xdr:row>41</xdr:row>
      <xdr:rowOff>67563</xdr:rowOff>
    </xdr:to>
    <xdr:cxnSp macro="">
      <xdr:nvCxnSpPr>
        <xdr:cNvPr id="292" name="Conector recto 291">
          <a:extLst>
            <a:ext uri="{FF2B5EF4-FFF2-40B4-BE49-F238E27FC236}">
              <a16:creationId xmlns:a16="http://schemas.microsoft.com/office/drawing/2014/main" id="{DDCD315B-F6F7-06A7-1542-C4531943689F}"/>
            </a:ext>
          </a:extLst>
        </xdr:cNvPr>
        <xdr:cNvCxnSpPr>
          <a:stCxn id="179" idx="1"/>
          <a:endCxn id="207" idx="6"/>
        </xdr:cNvCxnSpPr>
      </xdr:nvCxnSpPr>
      <xdr:spPr>
        <a:xfrm flipV="1">
          <a:off x="4902551" y="7836744"/>
          <a:ext cx="996849" cy="16148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253997</xdr:colOff>
      <xdr:row>42</xdr:row>
      <xdr:rowOff>107755</xdr:rowOff>
    </xdr:from>
    <xdr:to>
      <xdr:col>9</xdr:col>
      <xdr:colOff>222118</xdr:colOff>
      <xdr:row>43</xdr:row>
      <xdr:rowOff>83573</xdr:rowOff>
    </xdr:to>
    <xdr:cxnSp macro="">
      <xdr:nvCxnSpPr>
        <xdr:cNvPr id="294" name="Conector recto 293">
          <a:extLst>
            <a:ext uri="{FF2B5EF4-FFF2-40B4-BE49-F238E27FC236}">
              <a16:creationId xmlns:a16="http://schemas.microsoft.com/office/drawing/2014/main" id="{DA3F04FF-ABE0-C402-EF18-6B064B8FB157}"/>
            </a:ext>
          </a:extLst>
        </xdr:cNvPr>
        <xdr:cNvCxnSpPr>
          <a:stCxn id="208" idx="7"/>
          <a:endCxn id="192" idx="3"/>
        </xdr:cNvCxnSpPr>
      </xdr:nvCxnSpPr>
      <xdr:spPr>
        <a:xfrm flipV="1">
          <a:off x="5892797" y="8231847"/>
          <a:ext cx="448767" cy="16924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41</xdr:row>
      <xdr:rowOff>99442</xdr:rowOff>
    </xdr:from>
    <xdr:to>
      <xdr:col>9</xdr:col>
      <xdr:colOff>215515</xdr:colOff>
      <xdr:row>42</xdr:row>
      <xdr:rowOff>91816</xdr:rowOff>
    </xdr:to>
    <xdr:cxnSp macro="">
      <xdr:nvCxnSpPr>
        <xdr:cNvPr id="296" name="Conector recto 295">
          <a:extLst>
            <a:ext uri="{FF2B5EF4-FFF2-40B4-BE49-F238E27FC236}">
              <a16:creationId xmlns:a16="http://schemas.microsoft.com/office/drawing/2014/main" id="{3927E58F-5E02-A319-E7FF-2EED89F995E4}"/>
            </a:ext>
          </a:extLst>
        </xdr:cNvPr>
        <xdr:cNvCxnSpPr>
          <a:stCxn id="179" idx="5"/>
          <a:endCxn id="192" idx="3"/>
        </xdr:cNvCxnSpPr>
      </xdr:nvCxnSpPr>
      <xdr:spPr>
        <a:xfrm>
          <a:off x="4934430" y="8030104"/>
          <a:ext cx="1400531" cy="185804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63</xdr:row>
      <xdr:rowOff>99513</xdr:rowOff>
    </xdr:from>
    <xdr:to>
      <xdr:col>8</xdr:col>
      <xdr:colOff>260600</xdr:colOff>
      <xdr:row>64</xdr:row>
      <xdr:rowOff>83503</xdr:rowOff>
    </xdr:to>
    <xdr:cxnSp macro="">
      <xdr:nvCxnSpPr>
        <xdr:cNvPr id="298" name="Conector recto 297">
          <a:extLst>
            <a:ext uri="{FF2B5EF4-FFF2-40B4-BE49-F238E27FC236}">
              <a16:creationId xmlns:a16="http://schemas.microsoft.com/office/drawing/2014/main" id="{D1C2E5F4-A63F-19D6-97FC-851E3ECD823E}"/>
            </a:ext>
          </a:extLst>
        </xdr:cNvPr>
        <xdr:cNvCxnSpPr>
          <a:stCxn id="206" idx="6"/>
          <a:endCxn id="212" idx="6"/>
        </xdr:cNvCxnSpPr>
      </xdr:nvCxnSpPr>
      <xdr:spPr>
        <a:xfrm flipV="1">
          <a:off x="4941033" y="12285651"/>
          <a:ext cx="958367" cy="1774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62</xdr:row>
      <xdr:rowOff>67563</xdr:rowOff>
    </xdr:from>
    <xdr:to>
      <xdr:col>8</xdr:col>
      <xdr:colOff>260600</xdr:colOff>
      <xdr:row>63</xdr:row>
      <xdr:rowOff>99513</xdr:rowOff>
    </xdr:to>
    <xdr:cxnSp macro="">
      <xdr:nvCxnSpPr>
        <xdr:cNvPr id="300" name="Conector recto 299">
          <a:extLst>
            <a:ext uri="{FF2B5EF4-FFF2-40B4-BE49-F238E27FC236}">
              <a16:creationId xmlns:a16="http://schemas.microsoft.com/office/drawing/2014/main" id="{F0A6142A-6181-5A14-90F5-8F6D01A5ECB0}"/>
            </a:ext>
          </a:extLst>
        </xdr:cNvPr>
        <xdr:cNvCxnSpPr>
          <a:stCxn id="203" idx="1"/>
          <a:endCxn id="212" idx="6"/>
        </xdr:cNvCxnSpPr>
      </xdr:nvCxnSpPr>
      <xdr:spPr>
        <a:xfrm>
          <a:off x="4421905" y="12060271"/>
          <a:ext cx="1477495" cy="2253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61</xdr:row>
      <xdr:rowOff>83503</xdr:rowOff>
    </xdr:from>
    <xdr:to>
      <xdr:col>6</xdr:col>
      <xdr:colOff>218440</xdr:colOff>
      <xdr:row>62</xdr:row>
      <xdr:rowOff>60960</xdr:rowOff>
    </xdr:to>
    <xdr:cxnSp macro="">
      <xdr:nvCxnSpPr>
        <xdr:cNvPr id="302" name="Conector recto 301">
          <a:extLst>
            <a:ext uri="{FF2B5EF4-FFF2-40B4-BE49-F238E27FC236}">
              <a16:creationId xmlns:a16="http://schemas.microsoft.com/office/drawing/2014/main" id="{936A7BA9-40D7-59C6-C662-F7F1CF2C966F}"/>
            </a:ext>
          </a:extLst>
        </xdr:cNvPr>
        <xdr:cNvCxnSpPr>
          <a:stCxn id="202" idx="2"/>
          <a:endCxn id="203" idx="0"/>
        </xdr:cNvCxnSpPr>
      </xdr:nvCxnSpPr>
      <xdr:spPr>
        <a:xfrm flipH="1">
          <a:off x="4437845" y="11882780"/>
          <a:ext cx="458103" cy="17088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59</xdr:row>
      <xdr:rowOff>67563</xdr:rowOff>
    </xdr:from>
    <xdr:to>
      <xdr:col>8</xdr:col>
      <xdr:colOff>253997</xdr:colOff>
      <xdr:row>60</xdr:row>
      <xdr:rowOff>115452</xdr:rowOff>
    </xdr:to>
    <xdr:cxnSp macro="">
      <xdr:nvCxnSpPr>
        <xdr:cNvPr id="304" name="Conector recto 303">
          <a:extLst>
            <a:ext uri="{FF2B5EF4-FFF2-40B4-BE49-F238E27FC236}">
              <a16:creationId xmlns:a16="http://schemas.microsoft.com/office/drawing/2014/main" id="{D704E5EF-0069-AD79-14CA-AA6136B001A9}"/>
            </a:ext>
          </a:extLst>
        </xdr:cNvPr>
        <xdr:cNvCxnSpPr>
          <a:stCxn id="200" idx="7"/>
          <a:endCxn id="211" idx="6"/>
        </xdr:cNvCxnSpPr>
      </xdr:nvCxnSpPr>
      <xdr:spPr>
        <a:xfrm>
          <a:off x="4453784" y="11479978"/>
          <a:ext cx="1439013" cy="24132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218440</xdr:colOff>
      <xdr:row>60</xdr:row>
      <xdr:rowOff>122055</xdr:rowOff>
    </xdr:from>
    <xdr:to>
      <xdr:col>8</xdr:col>
      <xdr:colOff>238058</xdr:colOff>
      <xdr:row>61</xdr:row>
      <xdr:rowOff>83503</xdr:rowOff>
    </xdr:to>
    <xdr:cxnSp macro="">
      <xdr:nvCxnSpPr>
        <xdr:cNvPr id="306" name="Conector recto 305">
          <a:extLst>
            <a:ext uri="{FF2B5EF4-FFF2-40B4-BE49-F238E27FC236}">
              <a16:creationId xmlns:a16="http://schemas.microsoft.com/office/drawing/2014/main" id="{B7D24D32-97A0-4CD8-AF69-DEC07582389B}"/>
            </a:ext>
          </a:extLst>
        </xdr:cNvPr>
        <xdr:cNvCxnSpPr>
          <a:stCxn id="202" idx="2"/>
          <a:endCxn id="211" idx="5"/>
        </xdr:cNvCxnSpPr>
      </xdr:nvCxnSpPr>
      <xdr:spPr>
        <a:xfrm flipV="1">
          <a:off x="4895948" y="11727901"/>
          <a:ext cx="980910" cy="15487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58</xdr:row>
      <xdr:rowOff>83503</xdr:rowOff>
    </xdr:from>
    <xdr:to>
      <xdr:col>6</xdr:col>
      <xdr:colOff>218440</xdr:colOff>
      <xdr:row>59</xdr:row>
      <xdr:rowOff>60960</xdr:rowOff>
    </xdr:to>
    <xdr:cxnSp macro="">
      <xdr:nvCxnSpPr>
        <xdr:cNvPr id="308" name="Conector recto 307">
          <a:extLst>
            <a:ext uri="{FF2B5EF4-FFF2-40B4-BE49-F238E27FC236}">
              <a16:creationId xmlns:a16="http://schemas.microsoft.com/office/drawing/2014/main" id="{DEDB291F-4871-8956-F216-563CD58AC2AE}"/>
            </a:ext>
          </a:extLst>
        </xdr:cNvPr>
        <xdr:cNvCxnSpPr>
          <a:stCxn id="200" idx="0"/>
          <a:endCxn id="199" idx="6"/>
        </xdr:cNvCxnSpPr>
      </xdr:nvCxnSpPr>
      <xdr:spPr>
        <a:xfrm flipV="1">
          <a:off x="4437845" y="11302488"/>
          <a:ext cx="458103" cy="17088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57</xdr:row>
      <xdr:rowOff>67563</xdr:rowOff>
    </xdr:from>
    <xdr:to>
      <xdr:col>6</xdr:col>
      <xdr:colOff>263525</xdr:colOff>
      <xdr:row>58</xdr:row>
      <xdr:rowOff>83503</xdr:rowOff>
    </xdr:to>
    <xdr:cxnSp macro="">
      <xdr:nvCxnSpPr>
        <xdr:cNvPr id="310" name="Conector recto 309">
          <a:extLst>
            <a:ext uri="{FF2B5EF4-FFF2-40B4-BE49-F238E27FC236}">
              <a16:creationId xmlns:a16="http://schemas.microsoft.com/office/drawing/2014/main" id="{BFBEFBA5-515F-788E-3B06-7E5798C1AFDA}"/>
            </a:ext>
          </a:extLst>
        </xdr:cNvPr>
        <xdr:cNvCxnSpPr>
          <a:stCxn id="198" idx="7"/>
          <a:endCxn id="199" idx="2"/>
        </xdr:cNvCxnSpPr>
      </xdr:nvCxnSpPr>
      <xdr:spPr>
        <a:xfrm>
          <a:off x="4453784" y="11093117"/>
          <a:ext cx="487249" cy="20937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56</xdr:row>
      <xdr:rowOff>83503</xdr:rowOff>
    </xdr:from>
    <xdr:to>
      <xdr:col>6</xdr:col>
      <xdr:colOff>263525</xdr:colOff>
      <xdr:row>57</xdr:row>
      <xdr:rowOff>67563</xdr:rowOff>
    </xdr:to>
    <xdr:cxnSp macro="">
      <xdr:nvCxnSpPr>
        <xdr:cNvPr id="312" name="Conector recto 311">
          <a:extLst>
            <a:ext uri="{FF2B5EF4-FFF2-40B4-BE49-F238E27FC236}">
              <a16:creationId xmlns:a16="http://schemas.microsoft.com/office/drawing/2014/main" id="{1D8BA795-0E91-4B78-5BA1-3379999C37EF}"/>
            </a:ext>
          </a:extLst>
        </xdr:cNvPr>
        <xdr:cNvCxnSpPr>
          <a:stCxn id="197" idx="6"/>
          <a:endCxn id="198" idx="1"/>
        </xdr:cNvCxnSpPr>
      </xdr:nvCxnSpPr>
      <xdr:spPr>
        <a:xfrm flipH="1">
          <a:off x="4453784" y="10915626"/>
          <a:ext cx="487249" cy="17749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54</xdr:row>
      <xdr:rowOff>83503</xdr:rowOff>
    </xdr:from>
    <xdr:to>
      <xdr:col>6</xdr:col>
      <xdr:colOff>263525</xdr:colOff>
      <xdr:row>55</xdr:row>
      <xdr:rowOff>67563</xdr:rowOff>
    </xdr:to>
    <xdr:cxnSp macro="">
      <xdr:nvCxnSpPr>
        <xdr:cNvPr id="314" name="Conector recto 313">
          <a:extLst>
            <a:ext uri="{FF2B5EF4-FFF2-40B4-BE49-F238E27FC236}">
              <a16:creationId xmlns:a16="http://schemas.microsoft.com/office/drawing/2014/main" id="{D00B2AF3-5DD5-572B-3764-25FF66B4DE31}"/>
            </a:ext>
          </a:extLst>
        </xdr:cNvPr>
        <xdr:cNvCxnSpPr>
          <a:stCxn id="196" idx="1"/>
          <a:endCxn id="195" idx="5"/>
        </xdr:cNvCxnSpPr>
      </xdr:nvCxnSpPr>
      <xdr:spPr>
        <a:xfrm flipV="1">
          <a:off x="4421905" y="10528765"/>
          <a:ext cx="519128" cy="17749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55</xdr:row>
      <xdr:rowOff>83503</xdr:rowOff>
    </xdr:from>
    <xdr:to>
      <xdr:col>6</xdr:col>
      <xdr:colOff>263525</xdr:colOff>
      <xdr:row>56</xdr:row>
      <xdr:rowOff>83503</xdr:rowOff>
    </xdr:to>
    <xdr:cxnSp macro="">
      <xdr:nvCxnSpPr>
        <xdr:cNvPr id="316" name="Conector recto 315">
          <a:extLst>
            <a:ext uri="{FF2B5EF4-FFF2-40B4-BE49-F238E27FC236}">
              <a16:creationId xmlns:a16="http://schemas.microsoft.com/office/drawing/2014/main" id="{99D02D08-5701-B2C3-3F1B-F2CAE9DB38E7}"/>
            </a:ext>
          </a:extLst>
        </xdr:cNvPr>
        <xdr:cNvCxnSpPr>
          <a:stCxn id="197" idx="6"/>
          <a:endCxn id="196" idx="1"/>
        </xdr:cNvCxnSpPr>
      </xdr:nvCxnSpPr>
      <xdr:spPr>
        <a:xfrm flipH="1" flipV="1">
          <a:off x="4460387" y="10722195"/>
          <a:ext cx="480646" cy="19343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222118</xdr:colOff>
      <xdr:row>52</xdr:row>
      <xdr:rowOff>114358</xdr:rowOff>
    </xdr:from>
    <xdr:to>
      <xdr:col>9</xdr:col>
      <xdr:colOff>238058</xdr:colOff>
      <xdr:row>53</xdr:row>
      <xdr:rowOff>83573</xdr:rowOff>
    </xdr:to>
    <xdr:cxnSp macro="">
      <xdr:nvCxnSpPr>
        <xdr:cNvPr id="318" name="Conector recto 317">
          <a:extLst>
            <a:ext uri="{FF2B5EF4-FFF2-40B4-BE49-F238E27FC236}">
              <a16:creationId xmlns:a16="http://schemas.microsoft.com/office/drawing/2014/main" id="{B55DBF94-DB21-4B0F-70D1-EADACDB1C88C}"/>
            </a:ext>
          </a:extLst>
        </xdr:cNvPr>
        <xdr:cNvCxnSpPr>
          <a:stCxn id="193" idx="4"/>
          <a:endCxn id="210" idx="1"/>
        </xdr:cNvCxnSpPr>
      </xdr:nvCxnSpPr>
      <xdr:spPr>
        <a:xfrm flipH="1">
          <a:off x="5860918" y="10172758"/>
          <a:ext cx="496586" cy="16264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53</xdr:row>
      <xdr:rowOff>115452</xdr:rowOff>
    </xdr:from>
    <xdr:to>
      <xdr:col>8</xdr:col>
      <xdr:colOff>222118</xdr:colOff>
      <xdr:row>54</xdr:row>
      <xdr:rowOff>67563</xdr:rowOff>
    </xdr:to>
    <xdr:cxnSp macro="">
      <xdr:nvCxnSpPr>
        <xdr:cNvPr id="320" name="Conector recto 319">
          <a:extLst>
            <a:ext uri="{FF2B5EF4-FFF2-40B4-BE49-F238E27FC236}">
              <a16:creationId xmlns:a16="http://schemas.microsoft.com/office/drawing/2014/main" id="{1BF841AA-E41F-4C33-0A27-59241A0A9E5E}"/>
            </a:ext>
          </a:extLst>
        </xdr:cNvPr>
        <xdr:cNvCxnSpPr>
          <a:stCxn id="195" idx="7"/>
          <a:endCxn id="210" idx="3"/>
        </xdr:cNvCxnSpPr>
      </xdr:nvCxnSpPr>
      <xdr:spPr>
        <a:xfrm flipV="1">
          <a:off x="4934430" y="10367283"/>
          <a:ext cx="926488" cy="14554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43</xdr:row>
      <xdr:rowOff>99513</xdr:rowOff>
    </xdr:from>
    <xdr:to>
      <xdr:col>8</xdr:col>
      <xdr:colOff>215515</xdr:colOff>
      <xdr:row>44</xdr:row>
      <xdr:rowOff>83503</xdr:rowOff>
    </xdr:to>
    <xdr:cxnSp macro="">
      <xdr:nvCxnSpPr>
        <xdr:cNvPr id="321" name="Conector recto 320">
          <a:extLst>
            <a:ext uri="{FF2B5EF4-FFF2-40B4-BE49-F238E27FC236}">
              <a16:creationId xmlns:a16="http://schemas.microsoft.com/office/drawing/2014/main" id="{05E9A11E-A4F1-4058-92BA-1BBB4F3AAFA7}"/>
            </a:ext>
          </a:extLst>
        </xdr:cNvPr>
        <xdr:cNvCxnSpPr>
          <a:stCxn id="182" idx="6"/>
          <a:endCxn id="208" idx="2"/>
        </xdr:cNvCxnSpPr>
      </xdr:nvCxnSpPr>
      <xdr:spPr>
        <a:xfrm flipV="1">
          <a:off x="4941033" y="8417036"/>
          <a:ext cx="913282" cy="1774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240983</xdr:colOff>
      <xdr:row>51</xdr:row>
      <xdr:rowOff>106045</xdr:rowOff>
    </xdr:from>
    <xdr:to>
      <xdr:col>9</xdr:col>
      <xdr:colOff>215515</xdr:colOff>
      <xdr:row>52</xdr:row>
      <xdr:rowOff>91816</xdr:rowOff>
    </xdr:to>
    <xdr:cxnSp macro="">
      <xdr:nvCxnSpPr>
        <xdr:cNvPr id="325" name="Conector recto 324">
          <a:extLst>
            <a:ext uri="{FF2B5EF4-FFF2-40B4-BE49-F238E27FC236}">
              <a16:creationId xmlns:a16="http://schemas.microsoft.com/office/drawing/2014/main" id="{8817E921-4D12-A0A3-7102-1AC92B343874}"/>
            </a:ext>
          </a:extLst>
        </xdr:cNvPr>
        <xdr:cNvCxnSpPr>
          <a:stCxn id="189" idx="4"/>
          <a:endCxn id="193" idx="2"/>
        </xdr:cNvCxnSpPr>
      </xdr:nvCxnSpPr>
      <xdr:spPr>
        <a:xfrm>
          <a:off x="4931516" y="10037445"/>
          <a:ext cx="1422332" cy="180504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225043</xdr:colOff>
      <xdr:row>50</xdr:row>
      <xdr:rowOff>122055</xdr:rowOff>
    </xdr:from>
    <xdr:to>
      <xdr:col>8</xdr:col>
      <xdr:colOff>238058</xdr:colOff>
      <xdr:row>51</xdr:row>
      <xdr:rowOff>67563</xdr:rowOff>
    </xdr:to>
    <xdr:cxnSp macro="">
      <xdr:nvCxnSpPr>
        <xdr:cNvPr id="328" name="Conector recto 327">
          <a:extLst>
            <a:ext uri="{FF2B5EF4-FFF2-40B4-BE49-F238E27FC236}">
              <a16:creationId xmlns:a16="http://schemas.microsoft.com/office/drawing/2014/main" id="{5E64D765-2BFB-0EC7-C2F3-10A79C354E5B}"/>
            </a:ext>
          </a:extLst>
        </xdr:cNvPr>
        <xdr:cNvCxnSpPr>
          <a:stCxn id="209" idx="4"/>
          <a:endCxn id="189" idx="1"/>
        </xdr:cNvCxnSpPr>
      </xdr:nvCxnSpPr>
      <xdr:spPr>
        <a:xfrm flipH="1">
          <a:off x="4915576" y="9858722"/>
          <a:ext cx="978215" cy="14024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44</xdr:row>
      <xdr:rowOff>99442</xdr:rowOff>
    </xdr:from>
    <xdr:to>
      <xdr:col>6</xdr:col>
      <xdr:colOff>225043</xdr:colOff>
      <xdr:row>45</xdr:row>
      <xdr:rowOff>67563</xdr:rowOff>
    </xdr:to>
    <xdr:cxnSp macro="">
      <xdr:nvCxnSpPr>
        <xdr:cNvPr id="330" name="Conector recto 329">
          <a:extLst>
            <a:ext uri="{FF2B5EF4-FFF2-40B4-BE49-F238E27FC236}">
              <a16:creationId xmlns:a16="http://schemas.microsoft.com/office/drawing/2014/main" id="{195CA377-5FE2-1774-F9FC-5A8C50DA6876}"/>
            </a:ext>
          </a:extLst>
        </xdr:cNvPr>
        <xdr:cNvCxnSpPr>
          <a:stCxn id="183" idx="7"/>
          <a:endCxn id="182" idx="3"/>
        </xdr:cNvCxnSpPr>
      </xdr:nvCxnSpPr>
      <xdr:spPr>
        <a:xfrm flipV="1">
          <a:off x="4453784" y="8610396"/>
          <a:ext cx="448767" cy="16155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49</xdr:row>
      <xdr:rowOff>67563</xdr:rowOff>
    </xdr:from>
    <xdr:to>
      <xdr:col>8</xdr:col>
      <xdr:colOff>222118</xdr:colOff>
      <xdr:row>50</xdr:row>
      <xdr:rowOff>83573</xdr:rowOff>
    </xdr:to>
    <xdr:cxnSp macro="">
      <xdr:nvCxnSpPr>
        <xdr:cNvPr id="332" name="Conector recto 331">
          <a:extLst>
            <a:ext uri="{FF2B5EF4-FFF2-40B4-BE49-F238E27FC236}">
              <a16:creationId xmlns:a16="http://schemas.microsoft.com/office/drawing/2014/main" id="{296DAFA3-07BC-C5A8-355C-3C713A43091B}"/>
            </a:ext>
          </a:extLst>
        </xdr:cNvPr>
        <xdr:cNvCxnSpPr>
          <a:stCxn id="187" idx="1"/>
          <a:endCxn id="209" idx="1"/>
        </xdr:cNvCxnSpPr>
      </xdr:nvCxnSpPr>
      <xdr:spPr>
        <a:xfrm>
          <a:off x="4421905" y="9545671"/>
          <a:ext cx="1439013" cy="20944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47</xdr:row>
      <xdr:rowOff>67563</xdr:rowOff>
    </xdr:from>
    <xdr:to>
      <xdr:col>6</xdr:col>
      <xdr:colOff>225043</xdr:colOff>
      <xdr:row>48</xdr:row>
      <xdr:rowOff>67563</xdr:rowOff>
    </xdr:to>
    <xdr:cxnSp macro="">
      <xdr:nvCxnSpPr>
        <xdr:cNvPr id="334" name="Conector recto 333">
          <a:extLst>
            <a:ext uri="{FF2B5EF4-FFF2-40B4-BE49-F238E27FC236}">
              <a16:creationId xmlns:a16="http://schemas.microsoft.com/office/drawing/2014/main" id="{49D727FA-48C9-A3D4-C050-C8ED80375102}"/>
            </a:ext>
          </a:extLst>
        </xdr:cNvPr>
        <xdr:cNvCxnSpPr>
          <a:stCxn id="185" idx="1"/>
          <a:endCxn id="186" idx="1"/>
        </xdr:cNvCxnSpPr>
      </xdr:nvCxnSpPr>
      <xdr:spPr>
        <a:xfrm>
          <a:off x="4421905" y="9158809"/>
          <a:ext cx="480646" cy="19343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45</xdr:row>
      <xdr:rowOff>67563</xdr:rowOff>
    </xdr:from>
    <xdr:to>
      <xdr:col>6</xdr:col>
      <xdr:colOff>263525</xdr:colOff>
      <xdr:row>46</xdr:row>
      <xdr:rowOff>83503</xdr:rowOff>
    </xdr:to>
    <xdr:cxnSp macro="">
      <xdr:nvCxnSpPr>
        <xdr:cNvPr id="336" name="Conector recto 335">
          <a:extLst>
            <a:ext uri="{FF2B5EF4-FFF2-40B4-BE49-F238E27FC236}">
              <a16:creationId xmlns:a16="http://schemas.microsoft.com/office/drawing/2014/main" id="{834F6146-2EA5-6A24-41DD-DC34EDA1E2BD}"/>
            </a:ext>
          </a:extLst>
        </xdr:cNvPr>
        <xdr:cNvCxnSpPr>
          <a:stCxn id="183" idx="1"/>
          <a:endCxn id="184" idx="6"/>
        </xdr:cNvCxnSpPr>
      </xdr:nvCxnSpPr>
      <xdr:spPr>
        <a:xfrm>
          <a:off x="4421905" y="8771948"/>
          <a:ext cx="519128" cy="20937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48</xdr:row>
      <xdr:rowOff>67563</xdr:rowOff>
    </xdr:from>
    <xdr:to>
      <xdr:col>6</xdr:col>
      <xdr:colOff>225043</xdr:colOff>
      <xdr:row>49</xdr:row>
      <xdr:rowOff>67563</xdr:rowOff>
    </xdr:to>
    <xdr:cxnSp macro="">
      <xdr:nvCxnSpPr>
        <xdr:cNvPr id="338" name="Conector recto 337">
          <a:extLst>
            <a:ext uri="{FF2B5EF4-FFF2-40B4-BE49-F238E27FC236}">
              <a16:creationId xmlns:a16="http://schemas.microsoft.com/office/drawing/2014/main" id="{2C4C11C8-0E24-7348-BF5F-276FB5364126}"/>
            </a:ext>
          </a:extLst>
        </xdr:cNvPr>
        <xdr:cNvCxnSpPr>
          <a:stCxn id="187" idx="7"/>
          <a:endCxn id="186" idx="1"/>
        </xdr:cNvCxnSpPr>
      </xdr:nvCxnSpPr>
      <xdr:spPr>
        <a:xfrm flipV="1">
          <a:off x="4453784" y="9352240"/>
          <a:ext cx="448767" cy="19343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46</xdr:row>
      <xdr:rowOff>99442</xdr:rowOff>
    </xdr:from>
    <xdr:to>
      <xdr:col>6</xdr:col>
      <xdr:colOff>225043</xdr:colOff>
      <xdr:row>47</xdr:row>
      <xdr:rowOff>60960</xdr:rowOff>
    </xdr:to>
    <xdr:cxnSp macro="">
      <xdr:nvCxnSpPr>
        <xdr:cNvPr id="340" name="Conector recto 339">
          <a:extLst>
            <a:ext uri="{FF2B5EF4-FFF2-40B4-BE49-F238E27FC236}">
              <a16:creationId xmlns:a16="http://schemas.microsoft.com/office/drawing/2014/main" id="{A85DCE27-2FBE-150C-F73B-3BF799084952}"/>
            </a:ext>
          </a:extLst>
        </xdr:cNvPr>
        <xdr:cNvCxnSpPr>
          <a:stCxn id="185" idx="0"/>
          <a:endCxn id="184" idx="3"/>
        </xdr:cNvCxnSpPr>
      </xdr:nvCxnSpPr>
      <xdr:spPr>
        <a:xfrm flipV="1">
          <a:off x="4437845" y="8997257"/>
          <a:ext cx="464706" cy="15494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263525</xdr:colOff>
      <xdr:row>16</xdr:row>
      <xdr:rowOff>91816</xdr:rowOff>
    </xdr:from>
    <xdr:to>
      <xdr:col>9</xdr:col>
      <xdr:colOff>215515</xdr:colOff>
      <xdr:row>17</xdr:row>
      <xdr:rowOff>91200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927B6D88-2083-D036-E1C5-9880FA3C27A1}"/>
            </a:ext>
          </a:extLst>
        </xdr:cNvPr>
        <xdr:cNvCxnSpPr>
          <a:stCxn id="152" idx="6"/>
          <a:endCxn id="191" idx="0"/>
        </xdr:cNvCxnSpPr>
      </xdr:nvCxnSpPr>
      <xdr:spPr>
        <a:xfrm flipV="1">
          <a:off x="5898562" y="3102186"/>
          <a:ext cx="431768" cy="187533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91E12-7AF0-4346-BE51-0DE3BBD69989}">
  <sheetPr codeName="Hoja4"/>
  <dimension ref="A1:K61"/>
  <sheetViews>
    <sheetView tabSelected="1" topLeftCell="A32" zoomScale="86" zoomScaleNormal="86" workbookViewId="0">
      <selection activeCell="O37" sqref="O37"/>
    </sheetView>
  </sheetViews>
  <sheetFormatPr baseColWidth="10" defaultRowHeight="14.4" x14ac:dyDescent="0.3"/>
  <cols>
    <col min="1" max="1" width="4.33203125" bestFit="1" customWidth="1"/>
    <col min="2" max="2" width="22.21875" customWidth="1"/>
    <col min="6" max="10" width="7" customWidth="1"/>
  </cols>
  <sheetData>
    <row r="1" spans="1:11" ht="15" thickBot="1" x14ac:dyDescent="0.35">
      <c r="A1" s="1" t="s">
        <v>0</v>
      </c>
      <c r="B1" s="13" t="s">
        <v>59</v>
      </c>
      <c r="C1" s="14"/>
      <c r="D1" s="14"/>
      <c r="E1" s="14"/>
      <c r="F1" s="14"/>
      <c r="G1" s="14"/>
      <c r="H1" s="14"/>
      <c r="I1" s="14"/>
      <c r="J1" s="14"/>
      <c r="K1" s="15"/>
    </row>
    <row r="2" spans="1:11" ht="15" thickBot="1" x14ac:dyDescent="0.35">
      <c r="A2" s="2"/>
      <c r="B2" s="3" t="s">
        <v>1</v>
      </c>
      <c r="C2" s="3" t="s">
        <v>2</v>
      </c>
      <c r="D2" s="3" t="s">
        <v>3</v>
      </c>
      <c r="E2" s="3" t="s">
        <v>4</v>
      </c>
      <c r="F2" s="16" t="s">
        <v>5</v>
      </c>
      <c r="G2" s="17"/>
      <c r="H2" s="17"/>
      <c r="I2" s="17"/>
      <c r="J2" s="18"/>
      <c r="K2" s="3" t="s">
        <v>6</v>
      </c>
    </row>
    <row r="3" spans="1:11" ht="15" thickBot="1" x14ac:dyDescent="0.35">
      <c r="A3" s="2"/>
      <c r="B3" s="4"/>
      <c r="C3" s="4" t="s">
        <v>7</v>
      </c>
      <c r="D3" s="4" t="s">
        <v>8</v>
      </c>
      <c r="E3" s="4" t="s">
        <v>9</v>
      </c>
      <c r="F3" s="5"/>
      <c r="G3" s="5"/>
      <c r="H3" s="4"/>
      <c r="I3" s="5"/>
      <c r="J3" s="5"/>
      <c r="K3" s="4"/>
    </row>
    <row r="4" spans="1:11" ht="15" thickBot="1" x14ac:dyDescent="0.35">
      <c r="A4" s="2">
        <v>1</v>
      </c>
      <c r="B4" s="4" t="s">
        <v>10</v>
      </c>
      <c r="C4" s="4">
        <f>6*1.02</f>
        <v>6.12</v>
      </c>
      <c r="D4" s="4"/>
      <c r="E4" s="4"/>
      <c r="F4" s="4"/>
      <c r="G4" s="5"/>
      <c r="H4" s="5"/>
      <c r="I4" s="4"/>
      <c r="J4" s="4"/>
      <c r="K4" s="4"/>
    </row>
    <row r="5" spans="1:11" ht="15" thickBot="1" x14ac:dyDescent="0.35">
      <c r="A5" s="2">
        <v>2</v>
      </c>
      <c r="B5" s="4" t="s">
        <v>11</v>
      </c>
      <c r="C5" s="4"/>
      <c r="D5" s="4"/>
      <c r="E5" s="4">
        <v>3</v>
      </c>
      <c r="F5" s="4"/>
      <c r="G5" s="5"/>
      <c r="H5" s="4"/>
      <c r="I5" s="5"/>
      <c r="J5" s="4"/>
      <c r="K5" s="4"/>
    </row>
    <row r="6" spans="1:11" ht="15" thickBot="1" x14ac:dyDescent="0.35">
      <c r="A6" s="2">
        <v>3</v>
      </c>
      <c r="B6" s="4" t="s">
        <v>12</v>
      </c>
      <c r="C6" s="4"/>
      <c r="D6" s="4">
        <v>2</v>
      </c>
      <c r="E6" s="4"/>
      <c r="F6" s="5"/>
      <c r="G6" s="5"/>
      <c r="H6" s="4"/>
      <c r="I6" s="4"/>
      <c r="J6" s="5"/>
      <c r="K6" s="4"/>
    </row>
    <row r="7" spans="1:11" ht="15" thickBot="1" x14ac:dyDescent="0.35">
      <c r="A7" s="2">
        <v>4</v>
      </c>
      <c r="B7" s="4" t="s">
        <v>13</v>
      </c>
      <c r="C7" s="4"/>
      <c r="D7" s="4"/>
      <c r="E7" s="4">
        <v>5</v>
      </c>
      <c r="F7" s="5"/>
      <c r="G7" s="4"/>
      <c r="H7" s="4"/>
      <c r="I7" s="4"/>
      <c r="J7" s="4"/>
      <c r="K7" s="4"/>
    </row>
    <row r="8" spans="1:11" ht="15" thickBot="1" x14ac:dyDescent="0.35">
      <c r="A8" s="2">
        <v>5</v>
      </c>
      <c r="B8" s="4" t="s">
        <v>14</v>
      </c>
      <c r="C8" s="4"/>
      <c r="D8" s="4">
        <v>6</v>
      </c>
      <c r="E8" s="4"/>
      <c r="F8" s="5"/>
      <c r="G8" s="5"/>
      <c r="H8" s="4"/>
      <c r="I8" s="4"/>
      <c r="J8" s="4"/>
      <c r="K8" s="4" t="s">
        <v>15</v>
      </c>
    </row>
    <row r="9" spans="1:11" ht="15" thickBot="1" x14ac:dyDescent="0.35">
      <c r="A9" s="2">
        <v>6</v>
      </c>
      <c r="B9" s="4" t="s">
        <v>57</v>
      </c>
      <c r="C9" s="4"/>
      <c r="D9" s="4"/>
      <c r="E9" s="4">
        <v>15</v>
      </c>
      <c r="F9" s="5"/>
      <c r="G9" s="4"/>
      <c r="H9" s="4"/>
      <c r="I9" s="4"/>
      <c r="J9" s="4"/>
      <c r="K9" s="4"/>
    </row>
    <row r="10" spans="1:11" ht="15" thickBot="1" x14ac:dyDescent="0.35">
      <c r="A10" s="2">
        <v>7</v>
      </c>
      <c r="B10" s="4" t="s">
        <v>17</v>
      </c>
      <c r="C10" s="4"/>
      <c r="D10" s="4">
        <v>8</v>
      </c>
      <c r="E10" s="4"/>
      <c r="F10" s="5"/>
      <c r="G10" s="5"/>
      <c r="H10" s="4"/>
      <c r="I10" s="4"/>
      <c r="J10" s="4"/>
      <c r="K10" s="4" t="s">
        <v>15</v>
      </c>
    </row>
    <row r="11" spans="1:11" ht="15" thickBot="1" x14ac:dyDescent="0.35">
      <c r="A11" s="2">
        <v>8</v>
      </c>
      <c r="B11" s="4" t="s">
        <v>60</v>
      </c>
      <c r="C11" s="4"/>
      <c r="D11" s="4"/>
      <c r="E11" s="4">
        <v>30</v>
      </c>
      <c r="F11" s="5"/>
      <c r="G11" s="4"/>
      <c r="H11" s="4"/>
      <c r="I11" s="4"/>
      <c r="J11" s="4"/>
      <c r="K11" s="4"/>
    </row>
    <row r="12" spans="1:11" ht="15" thickBot="1" x14ac:dyDescent="0.35">
      <c r="A12" s="2">
        <v>9</v>
      </c>
      <c r="B12" s="4" t="s">
        <v>26</v>
      </c>
      <c r="C12" s="4"/>
      <c r="D12" s="4">
        <v>17</v>
      </c>
      <c r="E12" s="4"/>
      <c r="F12" s="5"/>
      <c r="G12" s="5"/>
      <c r="H12" s="4"/>
      <c r="I12" s="4"/>
      <c r="J12" s="4"/>
      <c r="K12" s="4"/>
    </row>
    <row r="13" spans="1:11" ht="15" thickBot="1" x14ac:dyDescent="0.35">
      <c r="A13" s="2">
        <v>10</v>
      </c>
      <c r="B13" s="4" t="s">
        <v>31</v>
      </c>
      <c r="C13" s="4"/>
      <c r="D13" s="4"/>
      <c r="E13" s="4">
        <v>600</v>
      </c>
      <c r="F13" s="5"/>
      <c r="G13" s="4"/>
      <c r="H13" s="4"/>
      <c r="I13" s="4"/>
      <c r="J13" s="4"/>
      <c r="K13" s="4"/>
    </row>
    <row r="14" spans="1:11" ht="15" thickBot="1" x14ac:dyDescent="0.35">
      <c r="A14" s="2">
        <v>11</v>
      </c>
      <c r="B14" s="4" t="s">
        <v>33</v>
      </c>
      <c r="C14" s="4"/>
      <c r="D14" s="4"/>
      <c r="E14" s="4">
        <v>840</v>
      </c>
      <c r="F14" s="5"/>
      <c r="G14" s="4"/>
      <c r="H14" s="5"/>
      <c r="I14" s="4"/>
      <c r="J14" s="4"/>
      <c r="K14" s="4"/>
    </row>
    <row r="15" spans="1:11" ht="15" thickBot="1" x14ac:dyDescent="0.35">
      <c r="A15" s="2">
        <v>12</v>
      </c>
      <c r="B15" s="4" t="s">
        <v>11</v>
      </c>
      <c r="C15" s="4"/>
      <c r="D15" s="4"/>
      <c r="E15" s="4">
        <v>7</v>
      </c>
      <c r="F15" s="5"/>
      <c r="G15" s="4"/>
      <c r="H15" s="5"/>
      <c r="I15" s="5"/>
      <c r="J15" s="4"/>
      <c r="K15" s="4"/>
    </row>
    <row r="16" spans="1:11" ht="15" thickBot="1" x14ac:dyDescent="0.35">
      <c r="A16" s="2">
        <v>13</v>
      </c>
      <c r="B16" s="4" t="s">
        <v>19</v>
      </c>
      <c r="C16" s="4"/>
      <c r="D16" s="4">
        <v>12</v>
      </c>
      <c r="E16" s="4"/>
      <c r="F16" s="5"/>
      <c r="G16" s="5"/>
      <c r="H16" s="4"/>
      <c r="I16" s="4"/>
      <c r="J16" s="4"/>
      <c r="K16" s="4" t="s">
        <v>15</v>
      </c>
    </row>
    <row r="17" spans="1:11" ht="15" thickBot="1" x14ac:dyDescent="0.35">
      <c r="A17" s="2">
        <v>14</v>
      </c>
      <c r="B17" s="4" t="s">
        <v>20</v>
      </c>
      <c r="C17" s="4"/>
      <c r="D17" s="4"/>
      <c r="E17" s="4">
        <v>5</v>
      </c>
      <c r="F17" s="5"/>
      <c r="G17" s="4"/>
      <c r="H17" s="4"/>
      <c r="I17" s="4"/>
      <c r="J17" s="4"/>
      <c r="K17" s="4"/>
    </row>
    <row r="18" spans="1:11" ht="15" thickBot="1" x14ac:dyDescent="0.35">
      <c r="A18" s="2">
        <v>15</v>
      </c>
      <c r="B18" s="4" t="s">
        <v>21</v>
      </c>
      <c r="C18" s="4"/>
      <c r="D18" s="4">
        <v>3</v>
      </c>
      <c r="E18" s="4"/>
      <c r="F18" s="4"/>
      <c r="G18" s="5"/>
      <c r="H18" s="4"/>
      <c r="I18" s="4"/>
      <c r="J18" s="4"/>
      <c r="K18" s="4"/>
    </row>
    <row r="19" spans="1:11" ht="15" thickBot="1" x14ac:dyDescent="0.35">
      <c r="A19" s="2">
        <v>16</v>
      </c>
      <c r="B19" s="4" t="s">
        <v>11</v>
      </c>
      <c r="C19" s="4"/>
      <c r="D19" s="4"/>
      <c r="E19" s="4">
        <v>10</v>
      </c>
      <c r="F19" s="4"/>
      <c r="G19" s="5"/>
      <c r="H19" s="4"/>
      <c r="I19" s="5"/>
      <c r="J19" s="4"/>
      <c r="K19" s="4"/>
    </row>
    <row r="20" spans="1:11" ht="15" thickBot="1" x14ac:dyDescent="0.35">
      <c r="A20" s="2">
        <v>17</v>
      </c>
      <c r="B20" s="4" t="s">
        <v>22</v>
      </c>
      <c r="C20" s="4"/>
      <c r="D20" s="4">
        <v>7</v>
      </c>
      <c r="E20" s="4"/>
      <c r="F20" s="4"/>
      <c r="G20" s="5"/>
      <c r="H20" s="4"/>
      <c r="I20" s="4"/>
      <c r="J20" s="4"/>
      <c r="K20" s="4" t="s">
        <v>15</v>
      </c>
    </row>
    <row r="21" spans="1:11" ht="15" thickBot="1" x14ac:dyDescent="0.35">
      <c r="A21" s="2">
        <v>18</v>
      </c>
      <c r="B21" s="4" t="s">
        <v>10</v>
      </c>
      <c r="C21" s="12">
        <f>1.02*1.4</f>
        <v>1.4279999999999999</v>
      </c>
      <c r="D21" s="4"/>
      <c r="E21" s="4"/>
      <c r="F21" s="4"/>
      <c r="G21" s="8"/>
      <c r="H21" s="4"/>
      <c r="I21" s="4"/>
      <c r="J21" s="4"/>
      <c r="K21" s="4"/>
    </row>
    <row r="22" spans="1:11" ht="15" thickBot="1" x14ac:dyDescent="0.35">
      <c r="A22" s="2">
        <v>19</v>
      </c>
      <c r="B22" s="4" t="s">
        <v>11</v>
      </c>
      <c r="C22" s="9"/>
      <c r="D22" s="4"/>
      <c r="E22" s="4">
        <v>3</v>
      </c>
      <c r="F22" s="7"/>
      <c r="G22" s="9"/>
      <c r="H22" s="4"/>
      <c r="I22" s="5"/>
      <c r="J22" s="5"/>
      <c r="K22" s="4"/>
    </row>
    <row r="23" spans="1:11" ht="15" thickBot="1" x14ac:dyDescent="0.35">
      <c r="A23" s="2">
        <v>20</v>
      </c>
      <c r="B23" s="4" t="s">
        <v>23</v>
      </c>
      <c r="C23" s="4"/>
      <c r="D23" s="4">
        <v>2</v>
      </c>
      <c r="E23" s="4"/>
      <c r="F23" s="9"/>
      <c r="G23" s="5"/>
      <c r="H23" s="4"/>
      <c r="I23" s="4"/>
      <c r="J23" s="4"/>
      <c r="K23" s="4"/>
    </row>
    <row r="24" spans="1:11" ht="15" thickBot="1" x14ac:dyDescent="0.35">
      <c r="A24" s="2">
        <v>21</v>
      </c>
      <c r="B24" s="4" t="s">
        <v>13</v>
      </c>
      <c r="C24" s="4"/>
      <c r="D24" s="4"/>
      <c r="E24" s="4">
        <v>5</v>
      </c>
      <c r="F24" s="4"/>
      <c r="G24" s="9"/>
      <c r="H24" s="4"/>
      <c r="I24" s="4"/>
      <c r="J24" s="4"/>
      <c r="K24" s="4"/>
    </row>
    <row r="25" spans="1:11" ht="15" thickBot="1" x14ac:dyDescent="0.35">
      <c r="A25" s="2">
        <v>22</v>
      </c>
      <c r="B25" s="4" t="s">
        <v>24</v>
      </c>
      <c r="C25" s="4"/>
      <c r="D25" s="4">
        <v>6</v>
      </c>
      <c r="E25" s="4"/>
      <c r="F25" s="9"/>
      <c r="G25" s="5"/>
      <c r="H25" s="4"/>
      <c r="I25" s="4"/>
      <c r="J25" s="4"/>
      <c r="K25" s="4" t="s">
        <v>15</v>
      </c>
    </row>
    <row r="26" spans="1:11" ht="15" thickBot="1" x14ac:dyDescent="0.35">
      <c r="A26" s="2">
        <v>23</v>
      </c>
      <c r="B26" s="4" t="s">
        <v>55</v>
      </c>
      <c r="C26" s="4"/>
      <c r="D26" s="4"/>
      <c r="E26" s="4">
        <v>10</v>
      </c>
      <c r="F26" s="4"/>
      <c r="G26" s="9"/>
      <c r="H26" s="4"/>
      <c r="I26" s="4"/>
      <c r="J26" s="4"/>
      <c r="K26" s="4"/>
    </row>
    <row r="27" spans="1:11" ht="15" thickBot="1" x14ac:dyDescent="0.35">
      <c r="A27" s="2">
        <v>24</v>
      </c>
      <c r="B27" s="4" t="s">
        <v>17</v>
      </c>
      <c r="C27" s="4"/>
      <c r="D27" s="4">
        <v>8</v>
      </c>
      <c r="E27" s="4"/>
      <c r="F27" s="4"/>
      <c r="G27" s="10"/>
      <c r="H27" s="4"/>
      <c r="I27" s="4"/>
      <c r="J27" s="4"/>
      <c r="K27" s="4"/>
    </row>
    <row r="28" spans="1:11" ht="15" thickBot="1" x14ac:dyDescent="0.35">
      <c r="A28" s="2">
        <v>25</v>
      </c>
      <c r="B28" s="4" t="s">
        <v>61</v>
      </c>
      <c r="C28" s="4"/>
      <c r="D28" s="4"/>
      <c r="E28" s="4">
        <v>30</v>
      </c>
      <c r="F28" s="10"/>
      <c r="G28" s="9"/>
      <c r="H28" s="4"/>
      <c r="I28" s="4"/>
      <c r="J28" s="4"/>
      <c r="K28" s="4"/>
    </row>
    <row r="29" spans="1:11" ht="15" thickBot="1" x14ac:dyDescent="0.35">
      <c r="A29" s="2">
        <v>26</v>
      </c>
      <c r="B29" s="4" t="s">
        <v>26</v>
      </c>
      <c r="C29" s="4"/>
      <c r="D29" s="4">
        <v>17</v>
      </c>
      <c r="E29" s="4"/>
      <c r="F29" s="5"/>
      <c r="G29" s="10"/>
      <c r="H29" s="4"/>
      <c r="I29" s="4"/>
      <c r="J29" s="4"/>
      <c r="K29" s="4" t="s">
        <v>15</v>
      </c>
    </row>
    <row r="30" spans="1:11" ht="15" thickBot="1" x14ac:dyDescent="0.35">
      <c r="A30" s="2">
        <v>27</v>
      </c>
      <c r="B30" s="4" t="s">
        <v>31</v>
      </c>
      <c r="C30" s="4"/>
      <c r="D30" s="4"/>
      <c r="E30" s="4">
        <v>600</v>
      </c>
      <c r="F30" s="5"/>
      <c r="G30" s="4"/>
      <c r="H30" s="4"/>
      <c r="I30" s="4"/>
      <c r="J30" s="4"/>
      <c r="K30" s="4" t="s">
        <v>32</v>
      </c>
    </row>
    <row r="31" spans="1:11" ht="15" thickBot="1" x14ac:dyDescent="0.35">
      <c r="A31" s="2">
        <v>28</v>
      </c>
      <c r="B31" s="4" t="s">
        <v>33</v>
      </c>
      <c r="C31" s="4"/>
      <c r="D31" s="4"/>
      <c r="E31" s="4">
        <v>840</v>
      </c>
      <c r="F31" s="4"/>
      <c r="G31" s="5"/>
      <c r="H31" s="5"/>
      <c r="I31" s="4"/>
      <c r="J31" s="4"/>
      <c r="K31" s="4" t="s">
        <v>32</v>
      </c>
    </row>
    <row r="32" spans="1:11" ht="15" thickBot="1" x14ac:dyDescent="0.35">
      <c r="A32" s="2">
        <v>29</v>
      </c>
      <c r="B32" s="4" t="s">
        <v>11</v>
      </c>
      <c r="C32" s="4"/>
      <c r="D32" s="4"/>
      <c r="E32" s="4">
        <v>7</v>
      </c>
      <c r="F32" s="4"/>
      <c r="G32" s="5"/>
      <c r="H32" s="5"/>
      <c r="I32" s="5"/>
      <c r="J32" s="4"/>
      <c r="K32" s="4"/>
    </row>
    <row r="33" spans="1:11" ht="15" thickBot="1" x14ac:dyDescent="0.35">
      <c r="A33" s="2">
        <v>30</v>
      </c>
      <c r="B33" s="4" t="s">
        <v>19</v>
      </c>
      <c r="C33" s="4"/>
      <c r="D33" s="4">
        <v>12</v>
      </c>
      <c r="E33" s="4"/>
      <c r="F33" s="4"/>
      <c r="G33" s="5"/>
      <c r="H33" s="5"/>
      <c r="I33" s="4"/>
      <c r="J33" s="4"/>
      <c r="K33" s="4" t="s">
        <v>15</v>
      </c>
    </row>
    <row r="34" spans="1:11" ht="15" thickBot="1" x14ac:dyDescent="0.35">
      <c r="A34" s="2">
        <v>31</v>
      </c>
      <c r="B34" s="4" t="s">
        <v>20</v>
      </c>
      <c r="C34" s="4"/>
      <c r="D34" s="4"/>
      <c r="E34" s="4">
        <v>5</v>
      </c>
      <c r="F34" s="5"/>
      <c r="G34" s="5"/>
      <c r="H34" s="5"/>
      <c r="I34" s="4"/>
      <c r="J34" s="4"/>
      <c r="K34" s="4"/>
    </row>
    <row r="35" spans="1:11" ht="15" thickBot="1" x14ac:dyDescent="0.35">
      <c r="A35" s="2">
        <v>32</v>
      </c>
      <c r="B35" s="4" t="s">
        <v>21</v>
      </c>
      <c r="C35" s="4"/>
      <c r="D35" s="4">
        <v>3</v>
      </c>
      <c r="E35" s="4"/>
      <c r="F35" s="4"/>
      <c r="G35" s="5"/>
      <c r="H35" s="5"/>
      <c r="I35" s="4"/>
      <c r="J35" s="4"/>
      <c r="K35" s="4"/>
    </row>
    <row r="36" spans="1:11" ht="15" thickBot="1" x14ac:dyDescent="0.35">
      <c r="A36" s="2">
        <v>33</v>
      </c>
      <c r="B36" s="4" t="s">
        <v>11</v>
      </c>
      <c r="C36" s="4"/>
      <c r="D36" s="4"/>
      <c r="E36" s="4">
        <v>10</v>
      </c>
      <c r="F36" s="4"/>
      <c r="G36" s="4"/>
      <c r="H36" s="4"/>
      <c r="I36" s="5"/>
      <c r="J36" s="4"/>
      <c r="K36" s="4"/>
    </row>
    <row r="37" spans="1:11" ht="15" thickBot="1" x14ac:dyDescent="0.35">
      <c r="A37" s="2">
        <v>34</v>
      </c>
      <c r="B37" s="4" t="s">
        <v>22</v>
      </c>
      <c r="C37" s="4"/>
      <c r="D37" s="4">
        <v>7</v>
      </c>
      <c r="E37" s="4"/>
      <c r="F37" s="4"/>
      <c r="G37" s="5"/>
      <c r="H37" s="4"/>
      <c r="I37" s="5"/>
      <c r="J37" s="4"/>
      <c r="K37" s="4" t="s">
        <v>15</v>
      </c>
    </row>
    <row r="38" spans="1:11" ht="15" thickBot="1" x14ac:dyDescent="0.35">
      <c r="A38" s="2">
        <v>35</v>
      </c>
      <c r="B38" s="4" t="s">
        <v>34</v>
      </c>
      <c r="C38" s="4">
        <v>6.12</v>
      </c>
      <c r="D38" s="4"/>
      <c r="E38" s="4"/>
      <c r="F38" s="4"/>
      <c r="G38" s="5"/>
      <c r="H38" s="4"/>
      <c r="I38" s="4"/>
      <c r="J38" s="4"/>
      <c r="K38" s="4"/>
    </row>
    <row r="39" spans="1:11" ht="15" thickBot="1" x14ac:dyDescent="0.35">
      <c r="A39" s="2">
        <v>36</v>
      </c>
      <c r="B39" s="4" t="s">
        <v>28</v>
      </c>
      <c r="C39" s="4"/>
      <c r="D39" s="4">
        <v>5</v>
      </c>
      <c r="E39" s="4"/>
      <c r="F39" s="5"/>
      <c r="G39" s="5"/>
      <c r="H39" s="4"/>
      <c r="I39" s="4"/>
      <c r="J39" s="4"/>
      <c r="K39" s="4"/>
    </row>
    <row r="40" spans="1:11" ht="15" thickBot="1" x14ac:dyDescent="0.35">
      <c r="A40" s="2">
        <v>37</v>
      </c>
      <c r="B40" s="4" t="s">
        <v>36</v>
      </c>
      <c r="C40" s="4"/>
      <c r="D40" s="4"/>
      <c r="E40" s="4">
        <v>120</v>
      </c>
      <c r="F40" s="5"/>
      <c r="G40" s="4"/>
      <c r="H40" s="4"/>
      <c r="I40" s="4"/>
      <c r="J40" s="5"/>
      <c r="K40" s="4" t="s">
        <v>32</v>
      </c>
    </row>
    <row r="41" spans="1:11" ht="15" thickBot="1" x14ac:dyDescent="0.35">
      <c r="A41" s="2">
        <v>38</v>
      </c>
      <c r="B41" s="4" t="s">
        <v>35</v>
      </c>
      <c r="C41" s="4"/>
      <c r="D41" s="4">
        <v>5</v>
      </c>
      <c r="E41" s="4"/>
      <c r="F41" s="5"/>
      <c r="G41" s="5"/>
      <c r="H41" s="4"/>
      <c r="I41" s="4"/>
      <c r="J41" s="4"/>
      <c r="K41" s="4"/>
    </row>
    <row r="42" spans="1:11" ht="15" thickBot="1" x14ac:dyDescent="0.35">
      <c r="A42" s="2">
        <v>39</v>
      </c>
      <c r="B42" s="4" t="s">
        <v>38</v>
      </c>
      <c r="C42" s="4"/>
      <c r="D42" s="4"/>
      <c r="E42" s="4">
        <v>30</v>
      </c>
      <c r="F42" s="5"/>
      <c r="G42" s="4"/>
      <c r="H42" s="4"/>
      <c r="I42" s="4"/>
      <c r="J42" s="4"/>
      <c r="K42" s="4"/>
    </row>
    <row r="43" spans="1:11" ht="15" thickBot="1" x14ac:dyDescent="0.35">
      <c r="A43" s="2">
        <v>40</v>
      </c>
      <c r="B43" s="4" t="s">
        <v>33</v>
      </c>
      <c r="C43" s="4"/>
      <c r="D43" s="4"/>
      <c r="E43" s="4">
        <v>1410</v>
      </c>
      <c r="F43" s="4"/>
      <c r="G43" s="5"/>
      <c r="H43" s="4"/>
      <c r="I43" s="4"/>
      <c r="J43" s="4"/>
      <c r="K43" s="4" t="s">
        <v>32</v>
      </c>
    </row>
    <row r="44" spans="1:11" ht="15" thickBot="1" x14ac:dyDescent="0.35">
      <c r="A44" s="2">
        <v>41</v>
      </c>
      <c r="B44" s="4" t="s">
        <v>37</v>
      </c>
      <c r="C44" s="4"/>
      <c r="D44" s="4">
        <v>5</v>
      </c>
      <c r="E44" s="4"/>
      <c r="F44" s="5"/>
      <c r="G44" s="5"/>
      <c r="H44" s="4"/>
      <c r="I44" s="4"/>
      <c r="J44" s="4"/>
      <c r="K44" s="4"/>
    </row>
    <row r="45" spans="1:11" ht="15" thickBot="1" x14ac:dyDescent="0.35">
      <c r="A45" s="2">
        <v>42</v>
      </c>
      <c r="B45" s="4" t="s">
        <v>40</v>
      </c>
      <c r="C45" s="4"/>
      <c r="D45" s="4"/>
      <c r="E45" s="4">
        <v>10</v>
      </c>
      <c r="F45" s="5"/>
      <c r="G45" s="4"/>
      <c r="H45" s="5"/>
      <c r="I45" s="4"/>
      <c r="J45" s="4"/>
      <c r="K45" s="4"/>
    </row>
    <row r="46" spans="1:11" ht="15" thickBot="1" x14ac:dyDescent="0.35">
      <c r="A46" s="2">
        <v>43</v>
      </c>
      <c r="B46" s="4" t="s">
        <v>11</v>
      </c>
      <c r="C46" s="4"/>
      <c r="D46" s="4"/>
      <c r="E46" s="4">
        <v>3</v>
      </c>
      <c r="F46" s="4"/>
      <c r="G46" s="5"/>
      <c r="H46" s="4"/>
      <c r="I46" s="5"/>
      <c r="J46" s="4"/>
      <c r="K46" s="4"/>
    </row>
    <row r="47" spans="1:11" ht="15" thickBot="1" x14ac:dyDescent="0.35">
      <c r="A47" s="2">
        <v>44</v>
      </c>
      <c r="B47" s="4" t="s">
        <v>22</v>
      </c>
      <c r="C47" s="4"/>
      <c r="D47" s="4">
        <v>7</v>
      </c>
      <c r="E47" s="4"/>
      <c r="F47" s="4"/>
      <c r="G47" s="5"/>
      <c r="H47" s="4"/>
      <c r="I47" s="4"/>
      <c r="J47" s="4"/>
      <c r="K47" s="4" t="s">
        <v>15</v>
      </c>
    </row>
    <row r="48" spans="1:11" ht="15" thickBot="1" x14ac:dyDescent="0.35">
      <c r="A48" s="2">
        <v>45</v>
      </c>
      <c r="B48" s="4" t="s">
        <v>10</v>
      </c>
      <c r="C48" s="12">
        <f>1.4*1.02</f>
        <v>1.4279999999999999</v>
      </c>
      <c r="D48" s="4"/>
      <c r="E48" s="4"/>
      <c r="F48" s="11"/>
      <c r="G48" s="4"/>
      <c r="H48" s="4"/>
      <c r="I48" s="4"/>
      <c r="J48" s="5"/>
      <c r="K48" s="4"/>
    </row>
    <row r="49" spans="1:11" ht="15" thickBot="1" x14ac:dyDescent="0.35">
      <c r="A49" s="2">
        <v>46</v>
      </c>
      <c r="B49" s="4" t="s">
        <v>11</v>
      </c>
      <c r="C49" s="4"/>
      <c r="D49" s="4"/>
      <c r="E49" s="4">
        <v>3</v>
      </c>
      <c r="F49" s="4"/>
      <c r="G49" s="4"/>
      <c r="H49" s="4"/>
      <c r="I49" s="5"/>
      <c r="J49" s="4"/>
      <c r="K49" s="4"/>
    </row>
    <row r="50" spans="1:11" ht="15" thickBot="1" x14ac:dyDescent="0.35">
      <c r="A50" s="2">
        <v>47</v>
      </c>
      <c r="B50" s="4" t="s">
        <v>39</v>
      </c>
      <c r="C50" s="4"/>
      <c r="D50" s="4">
        <v>2</v>
      </c>
      <c r="E50" s="4"/>
      <c r="F50" s="4"/>
      <c r="G50" s="5"/>
      <c r="H50" s="4"/>
      <c r="I50" s="4"/>
      <c r="J50" s="4"/>
      <c r="K50" s="4"/>
    </row>
    <row r="51" spans="1:11" ht="15" thickBot="1" x14ac:dyDescent="0.35">
      <c r="A51" s="2">
        <v>48</v>
      </c>
      <c r="B51" s="4" t="s">
        <v>13</v>
      </c>
      <c r="C51" s="4"/>
      <c r="D51" s="4"/>
      <c r="E51" s="4">
        <v>5</v>
      </c>
      <c r="F51" s="5"/>
      <c r="G51" s="4"/>
      <c r="H51" s="4"/>
      <c r="I51" s="5"/>
      <c r="J51" s="4"/>
      <c r="K51" s="4"/>
    </row>
    <row r="52" spans="1:11" ht="15" thickBot="1" x14ac:dyDescent="0.35">
      <c r="A52" s="2">
        <v>49</v>
      </c>
      <c r="B52" s="4" t="s">
        <v>30</v>
      </c>
      <c r="C52" s="4"/>
      <c r="D52" s="4">
        <v>6</v>
      </c>
      <c r="E52" s="4"/>
      <c r="F52" s="4"/>
      <c r="G52" s="5"/>
      <c r="H52" s="4"/>
      <c r="I52" s="4"/>
      <c r="J52" s="4"/>
      <c r="K52" s="4" t="s">
        <v>15</v>
      </c>
    </row>
    <row r="53" spans="1:11" ht="15" thickBot="1" x14ac:dyDescent="0.35">
      <c r="A53" s="2">
        <v>50</v>
      </c>
      <c r="B53" s="4" t="s">
        <v>48</v>
      </c>
      <c r="C53" s="4"/>
      <c r="D53" s="4"/>
      <c r="E53" s="4">
        <v>8</v>
      </c>
      <c r="F53" s="5"/>
      <c r="G53" s="4"/>
      <c r="H53" s="4"/>
      <c r="I53" s="4"/>
      <c r="J53" s="4"/>
      <c r="K53" s="4"/>
    </row>
    <row r="54" spans="1:11" ht="15" thickBot="1" x14ac:dyDescent="0.35">
      <c r="A54" s="2">
        <v>51</v>
      </c>
      <c r="B54" s="4" t="s">
        <v>42</v>
      </c>
      <c r="C54" s="4"/>
      <c r="D54" s="4">
        <v>3</v>
      </c>
      <c r="E54" s="4"/>
      <c r="F54" s="4"/>
      <c r="G54" s="5"/>
      <c r="H54" s="4"/>
      <c r="I54" s="4"/>
      <c r="J54" s="4"/>
      <c r="K54" s="4"/>
    </row>
    <row r="55" spans="1:11" ht="15" thickBot="1" x14ac:dyDescent="0.35">
      <c r="A55" s="2">
        <v>52</v>
      </c>
      <c r="B55" s="4" t="s">
        <v>29</v>
      </c>
      <c r="C55" s="4"/>
      <c r="D55" s="4"/>
      <c r="E55" s="4">
        <v>5</v>
      </c>
      <c r="F55" s="5"/>
      <c r="G55" s="4"/>
      <c r="H55" s="4"/>
      <c r="I55" s="4"/>
      <c r="J55" s="4"/>
      <c r="K55" s="4"/>
    </row>
    <row r="56" spans="1:11" ht="15" thickBot="1" x14ac:dyDescent="0.35">
      <c r="A56" s="2">
        <v>53</v>
      </c>
      <c r="B56" s="4" t="s">
        <v>11</v>
      </c>
      <c r="C56" s="4"/>
      <c r="D56" s="4"/>
      <c r="E56" s="4">
        <v>3</v>
      </c>
      <c r="F56" s="4"/>
      <c r="G56" s="4"/>
      <c r="H56" s="4"/>
      <c r="I56" s="4"/>
      <c r="J56" s="4"/>
      <c r="K56" s="4"/>
    </row>
    <row r="57" spans="1:11" ht="15" thickBot="1" x14ac:dyDescent="0.35">
      <c r="A57" s="2">
        <v>54</v>
      </c>
      <c r="B57" s="4" t="s">
        <v>22</v>
      </c>
      <c r="C57" s="4"/>
      <c r="D57" s="4">
        <v>10</v>
      </c>
      <c r="E57" s="4"/>
      <c r="F57" s="4"/>
      <c r="G57" s="5"/>
      <c r="H57" s="4"/>
      <c r="I57" s="4"/>
      <c r="J57" s="4"/>
      <c r="K57" s="4" t="s">
        <v>15</v>
      </c>
    </row>
    <row r="58" spans="1:11" ht="15" thickBot="1" x14ac:dyDescent="0.35">
      <c r="A58" s="2">
        <v>55</v>
      </c>
      <c r="B58" s="4" t="s">
        <v>50</v>
      </c>
      <c r="C58" s="4"/>
      <c r="D58" s="4"/>
      <c r="E58" s="4">
        <v>30</v>
      </c>
      <c r="F58" s="5"/>
      <c r="G58" s="4"/>
      <c r="H58" s="4"/>
      <c r="I58" s="5"/>
      <c r="J58" s="4"/>
      <c r="K58" s="4"/>
    </row>
    <row r="59" spans="1:11" ht="15" thickBot="1" x14ac:dyDescent="0.35">
      <c r="A59" s="2">
        <v>56</v>
      </c>
      <c r="B59" s="4" t="s">
        <v>11</v>
      </c>
      <c r="C59" s="4"/>
      <c r="D59" s="4"/>
      <c r="E59" s="4">
        <v>5</v>
      </c>
      <c r="F59" s="5"/>
      <c r="G59" s="5"/>
      <c r="H59" s="4"/>
      <c r="I59" s="5"/>
      <c r="J59" s="4"/>
      <c r="K59" s="4"/>
    </row>
    <row r="60" spans="1:11" ht="15" thickBot="1" x14ac:dyDescent="0.35">
      <c r="A60" s="2">
        <v>57</v>
      </c>
      <c r="B60" s="4" t="s">
        <v>51</v>
      </c>
      <c r="C60" s="4"/>
      <c r="D60" s="4">
        <v>7</v>
      </c>
      <c r="E60" s="4"/>
      <c r="F60" s="4"/>
      <c r="G60" s="5"/>
      <c r="H60" s="4"/>
      <c r="I60" s="4"/>
      <c r="J60" s="4"/>
      <c r="K60" s="4" t="s">
        <v>15</v>
      </c>
    </row>
    <row r="61" spans="1:11" ht="15" thickBot="1" x14ac:dyDescent="0.35">
      <c r="A61" s="2"/>
      <c r="B61" s="4" t="s">
        <v>52</v>
      </c>
      <c r="C61" s="4"/>
      <c r="D61" s="4">
        <f>SUM(D4:D60)</f>
        <v>160</v>
      </c>
      <c r="E61" s="4">
        <f>SUM(E4:E60)</f>
        <v>4657</v>
      </c>
      <c r="F61" s="6" cm="1">
        <f t="array" aca="1" ref="F61" ca="1">ContarCeldasConCirculos(F4:F60)</f>
        <v>17</v>
      </c>
      <c r="G61" s="6" cm="1">
        <f t="array" aca="1" ref="G61" ca="1">ContarCeldasConCirculos(G4:G60)</f>
        <v>23</v>
      </c>
      <c r="H61" s="6" cm="1">
        <f t="array" aca="1" ref="H61" ca="1">ContarCeldasConCirculos(H4:H60)</f>
        <v>3</v>
      </c>
      <c r="I61" s="6" cm="1">
        <f t="array" aca="1" ref="I61" ca="1">ContarCeldasConCirculos(I4:I60)</f>
        <v>10</v>
      </c>
      <c r="J61" s="6" cm="1">
        <f t="array" aca="1" ref="J61" ca="1">ContarCeldasConCirculos(J4:J60)</f>
        <v>4</v>
      </c>
      <c r="K61" s="3"/>
    </row>
  </sheetData>
  <mergeCells count="2">
    <mergeCell ref="B1:K1"/>
    <mergeCell ref="F2:J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9B90B-8BB1-4A6C-8F34-FD1E1D4A135B}">
  <sheetPr codeName="Hoja3"/>
  <dimension ref="A1:K57"/>
  <sheetViews>
    <sheetView topLeftCell="A35" zoomScale="94" zoomScaleNormal="94" workbookViewId="0">
      <selection activeCell="A44" sqref="A44:XFD53"/>
    </sheetView>
  </sheetViews>
  <sheetFormatPr baseColWidth="10" defaultRowHeight="14.4" x14ac:dyDescent="0.3"/>
  <cols>
    <col min="1" max="1" width="4.33203125" bestFit="1" customWidth="1"/>
    <col min="2" max="2" width="22.21875" customWidth="1"/>
    <col min="6" max="10" width="7" customWidth="1"/>
  </cols>
  <sheetData>
    <row r="1" spans="1:11" ht="15" thickBot="1" x14ac:dyDescent="0.35">
      <c r="A1" s="1" t="s">
        <v>0</v>
      </c>
      <c r="B1" s="13" t="s">
        <v>54</v>
      </c>
      <c r="C1" s="14"/>
      <c r="D1" s="14"/>
      <c r="E1" s="14"/>
      <c r="F1" s="14"/>
      <c r="G1" s="14"/>
      <c r="H1" s="14"/>
      <c r="I1" s="14"/>
      <c r="J1" s="14"/>
      <c r="K1" s="15"/>
    </row>
    <row r="2" spans="1:11" ht="15" thickBot="1" x14ac:dyDescent="0.35">
      <c r="A2" s="2"/>
      <c r="B2" s="3" t="s">
        <v>1</v>
      </c>
      <c r="C2" s="3" t="s">
        <v>2</v>
      </c>
      <c r="D2" s="3" t="s">
        <v>3</v>
      </c>
      <c r="E2" s="3" t="s">
        <v>4</v>
      </c>
      <c r="F2" s="16" t="s">
        <v>5</v>
      </c>
      <c r="G2" s="17"/>
      <c r="H2" s="17"/>
      <c r="I2" s="17"/>
      <c r="J2" s="18"/>
      <c r="K2" s="3" t="s">
        <v>6</v>
      </c>
    </row>
    <row r="3" spans="1:11" ht="15" thickBot="1" x14ac:dyDescent="0.35">
      <c r="A3" s="2"/>
      <c r="B3" s="4"/>
      <c r="C3" s="4" t="s">
        <v>7</v>
      </c>
      <c r="D3" s="4" t="s">
        <v>8</v>
      </c>
      <c r="E3" s="4" t="s">
        <v>9</v>
      </c>
      <c r="F3" s="5"/>
      <c r="G3" s="5"/>
      <c r="H3" s="4"/>
      <c r="I3" s="5"/>
      <c r="J3" s="5"/>
      <c r="K3" s="4"/>
    </row>
    <row r="4" spans="1:11" ht="15" thickBot="1" x14ac:dyDescent="0.35">
      <c r="A4" s="2">
        <v>1</v>
      </c>
      <c r="B4" s="4" t="s">
        <v>10</v>
      </c>
      <c r="C4" s="4">
        <f>7.5*1.02</f>
        <v>7.65</v>
      </c>
      <c r="D4" s="4"/>
      <c r="E4" s="4"/>
      <c r="F4" s="4"/>
      <c r="G4" s="5"/>
      <c r="H4" s="5"/>
      <c r="I4" s="4"/>
      <c r="J4" s="4"/>
      <c r="K4" s="4"/>
    </row>
    <row r="5" spans="1:11" ht="15" thickBot="1" x14ac:dyDescent="0.35">
      <c r="A5" s="2">
        <v>2</v>
      </c>
      <c r="B5" s="4" t="s">
        <v>11</v>
      </c>
      <c r="C5" s="4"/>
      <c r="D5" s="4"/>
      <c r="E5" s="4">
        <v>3</v>
      </c>
      <c r="F5" s="4"/>
      <c r="G5" s="5"/>
      <c r="H5" s="4"/>
      <c r="I5" s="5"/>
      <c r="J5" s="4"/>
      <c r="K5" s="4"/>
    </row>
    <row r="6" spans="1:11" ht="15" thickBot="1" x14ac:dyDescent="0.35">
      <c r="A6" s="2">
        <v>3</v>
      </c>
      <c r="B6" s="4" t="s">
        <v>12</v>
      </c>
      <c r="C6" s="4"/>
      <c r="D6" s="4">
        <v>2</v>
      </c>
      <c r="E6" s="4"/>
      <c r="F6" s="5"/>
      <c r="G6" s="5"/>
      <c r="H6" s="4"/>
      <c r="I6" s="4"/>
      <c r="J6" s="5"/>
      <c r="K6" s="4"/>
    </row>
    <row r="7" spans="1:11" ht="15" thickBot="1" x14ac:dyDescent="0.35">
      <c r="A7" s="2">
        <v>4</v>
      </c>
      <c r="B7" s="4" t="s">
        <v>13</v>
      </c>
      <c r="C7" s="4"/>
      <c r="D7" s="4"/>
      <c r="E7" s="4">
        <v>5</v>
      </c>
      <c r="F7" s="5"/>
      <c r="G7" s="4"/>
      <c r="H7" s="4"/>
      <c r="I7" s="4"/>
      <c r="J7" s="4"/>
      <c r="K7" s="4"/>
    </row>
    <row r="8" spans="1:11" ht="15" thickBot="1" x14ac:dyDescent="0.35">
      <c r="A8" s="2">
        <v>5</v>
      </c>
      <c r="B8" s="4" t="s">
        <v>14</v>
      </c>
      <c r="C8" s="4"/>
      <c r="D8" s="4">
        <v>6</v>
      </c>
      <c r="E8" s="4"/>
      <c r="F8" s="5"/>
      <c r="G8" s="5"/>
      <c r="H8" s="4"/>
      <c r="I8" s="4"/>
      <c r="J8" s="4"/>
      <c r="K8" s="4" t="s">
        <v>15</v>
      </c>
    </row>
    <row r="9" spans="1:11" ht="15" thickBot="1" x14ac:dyDescent="0.35">
      <c r="A9" s="2">
        <v>6</v>
      </c>
      <c r="B9" s="4" t="s">
        <v>57</v>
      </c>
      <c r="C9" s="4"/>
      <c r="D9" s="4"/>
      <c r="E9" s="4">
        <v>15</v>
      </c>
      <c r="F9" s="5"/>
      <c r="G9" s="4"/>
      <c r="H9" s="4"/>
      <c r="I9" s="4"/>
      <c r="J9" s="4"/>
      <c r="K9" s="4"/>
    </row>
    <row r="10" spans="1:11" ht="15" thickBot="1" x14ac:dyDescent="0.35">
      <c r="A10" s="2">
        <v>7</v>
      </c>
      <c r="B10" s="4" t="s">
        <v>17</v>
      </c>
      <c r="C10" s="4"/>
      <c r="D10" s="4">
        <v>8</v>
      </c>
      <c r="E10" s="4"/>
      <c r="F10" s="5"/>
      <c r="G10" s="5"/>
      <c r="H10" s="4"/>
      <c r="I10" s="4"/>
      <c r="J10" s="4"/>
      <c r="K10" s="4" t="s">
        <v>15</v>
      </c>
    </row>
    <row r="11" spans="1:11" ht="15" thickBot="1" x14ac:dyDescent="0.35">
      <c r="A11" s="2">
        <v>8</v>
      </c>
      <c r="B11" s="4" t="s">
        <v>58</v>
      </c>
      <c r="C11" s="4"/>
      <c r="D11" s="4"/>
      <c r="E11" s="4">
        <v>15</v>
      </c>
      <c r="F11" s="5"/>
      <c r="G11" s="4"/>
      <c r="H11" s="4"/>
      <c r="I11" s="4"/>
      <c r="J11" s="4"/>
      <c r="K11" s="4"/>
    </row>
    <row r="12" spans="1:11" ht="15" thickBot="1" x14ac:dyDescent="0.35">
      <c r="A12" s="2">
        <v>9</v>
      </c>
      <c r="B12" s="4" t="s">
        <v>19</v>
      </c>
      <c r="C12" s="4"/>
      <c r="D12" s="4">
        <v>2</v>
      </c>
      <c r="E12" s="4"/>
      <c r="F12" s="5"/>
      <c r="G12" s="5"/>
      <c r="H12" s="4"/>
      <c r="I12" s="4"/>
      <c r="J12" s="4"/>
      <c r="K12" s="4"/>
    </row>
    <row r="13" spans="1:11" ht="15" thickBot="1" x14ac:dyDescent="0.35">
      <c r="A13" s="2">
        <v>10</v>
      </c>
      <c r="B13" s="4" t="s">
        <v>20</v>
      </c>
      <c r="C13" s="4"/>
      <c r="D13" s="4"/>
      <c r="E13" s="4">
        <v>5</v>
      </c>
      <c r="F13" s="5"/>
      <c r="G13" s="4"/>
      <c r="H13" s="4"/>
      <c r="I13" s="4"/>
      <c r="J13" s="4"/>
      <c r="K13" s="4"/>
    </row>
    <row r="14" spans="1:11" ht="15" thickBot="1" x14ac:dyDescent="0.35">
      <c r="A14" s="2">
        <v>11</v>
      </c>
      <c r="B14" s="4" t="s">
        <v>21</v>
      </c>
      <c r="C14" s="4"/>
      <c r="D14" s="4">
        <v>3</v>
      </c>
      <c r="E14" s="4"/>
      <c r="F14" s="4"/>
      <c r="G14" s="5"/>
      <c r="H14" s="4"/>
      <c r="I14" s="4"/>
      <c r="J14" s="4"/>
      <c r="K14" s="4"/>
    </row>
    <row r="15" spans="1:11" ht="15" thickBot="1" x14ac:dyDescent="0.35">
      <c r="A15" s="2">
        <v>12</v>
      </c>
      <c r="B15" s="4" t="s">
        <v>11</v>
      </c>
      <c r="C15" s="4"/>
      <c r="D15" s="4"/>
      <c r="E15" s="4">
        <v>10</v>
      </c>
      <c r="F15" s="4"/>
      <c r="G15" s="5"/>
      <c r="H15" s="4"/>
      <c r="I15" s="5"/>
      <c r="J15" s="4"/>
      <c r="K15" s="4"/>
    </row>
    <row r="16" spans="1:11" ht="15" thickBot="1" x14ac:dyDescent="0.35">
      <c r="A16" s="2">
        <v>13</v>
      </c>
      <c r="B16" s="4" t="s">
        <v>22</v>
      </c>
      <c r="C16" s="4"/>
      <c r="D16" s="4">
        <v>7</v>
      </c>
      <c r="E16" s="4"/>
      <c r="F16" s="4"/>
      <c r="G16" s="5"/>
      <c r="H16" s="4"/>
      <c r="I16" s="4"/>
      <c r="J16" s="4"/>
      <c r="K16" s="4" t="s">
        <v>15</v>
      </c>
    </row>
    <row r="17" spans="1:11" ht="15" thickBot="1" x14ac:dyDescent="0.35">
      <c r="A17" s="2">
        <v>14</v>
      </c>
      <c r="B17" s="4" t="s">
        <v>10</v>
      </c>
      <c r="C17" s="12">
        <f>1.02*0.9</f>
        <v>0.91800000000000004</v>
      </c>
      <c r="D17" s="4"/>
      <c r="E17" s="4"/>
      <c r="F17" s="4"/>
      <c r="G17" s="8"/>
      <c r="H17" s="4"/>
      <c r="I17" s="4"/>
      <c r="J17" s="4"/>
      <c r="K17" s="4"/>
    </row>
    <row r="18" spans="1:11" ht="15" thickBot="1" x14ac:dyDescent="0.35">
      <c r="A18" s="2">
        <v>15</v>
      </c>
      <c r="B18" s="4" t="s">
        <v>11</v>
      </c>
      <c r="C18" s="9"/>
      <c r="D18" s="4"/>
      <c r="E18" s="4">
        <v>3</v>
      </c>
      <c r="F18" s="7"/>
      <c r="G18" s="9"/>
      <c r="H18" s="4"/>
      <c r="I18" s="5"/>
      <c r="J18" s="5"/>
      <c r="K18" s="4"/>
    </row>
    <row r="19" spans="1:11" ht="15" thickBot="1" x14ac:dyDescent="0.35">
      <c r="A19" s="2">
        <v>16</v>
      </c>
      <c r="B19" s="4" t="s">
        <v>23</v>
      </c>
      <c r="C19" s="4"/>
      <c r="D19" s="4">
        <v>2</v>
      </c>
      <c r="E19" s="4"/>
      <c r="F19" s="9"/>
      <c r="G19" s="5"/>
      <c r="H19" s="4"/>
      <c r="I19" s="4"/>
      <c r="J19" s="4"/>
      <c r="K19" s="4"/>
    </row>
    <row r="20" spans="1:11" ht="15" thickBot="1" x14ac:dyDescent="0.35">
      <c r="A20" s="2">
        <v>17</v>
      </c>
      <c r="B20" s="4" t="s">
        <v>13</v>
      </c>
      <c r="C20" s="4"/>
      <c r="D20" s="4"/>
      <c r="E20" s="4">
        <v>5</v>
      </c>
      <c r="F20" s="4"/>
      <c r="G20" s="9"/>
      <c r="H20" s="4"/>
      <c r="I20" s="4"/>
      <c r="J20" s="4"/>
      <c r="K20" s="4"/>
    </row>
    <row r="21" spans="1:11" ht="15" thickBot="1" x14ac:dyDescent="0.35">
      <c r="A21" s="2">
        <v>18</v>
      </c>
      <c r="B21" s="4" t="s">
        <v>24</v>
      </c>
      <c r="C21" s="4"/>
      <c r="D21" s="4">
        <v>6</v>
      </c>
      <c r="E21" s="4"/>
      <c r="F21" s="9"/>
      <c r="G21" s="5"/>
      <c r="H21" s="4"/>
      <c r="I21" s="4"/>
      <c r="J21" s="4"/>
      <c r="K21" s="4" t="s">
        <v>15</v>
      </c>
    </row>
    <row r="22" spans="1:11" ht="15" thickBot="1" x14ac:dyDescent="0.35">
      <c r="A22" s="2">
        <v>19</v>
      </c>
      <c r="B22" s="4" t="s">
        <v>55</v>
      </c>
      <c r="C22" s="4"/>
      <c r="D22" s="4"/>
      <c r="E22" s="4">
        <v>10</v>
      </c>
      <c r="F22" s="4"/>
      <c r="G22" s="9"/>
      <c r="H22" s="4"/>
      <c r="I22" s="4"/>
      <c r="J22" s="4"/>
      <c r="K22" s="4"/>
    </row>
    <row r="23" spans="1:11" ht="15" thickBot="1" x14ac:dyDescent="0.35">
      <c r="A23" s="2">
        <v>20</v>
      </c>
      <c r="B23" s="4" t="s">
        <v>26</v>
      </c>
      <c r="C23" s="4"/>
      <c r="D23" s="4">
        <v>8</v>
      </c>
      <c r="E23" s="4"/>
      <c r="F23" s="4"/>
      <c r="G23" s="10"/>
      <c r="H23" s="4"/>
      <c r="I23" s="4"/>
      <c r="J23" s="4"/>
      <c r="K23" s="4"/>
    </row>
    <row r="24" spans="1:11" ht="15" thickBot="1" x14ac:dyDescent="0.35">
      <c r="A24" s="2">
        <v>21</v>
      </c>
      <c r="B24" s="4" t="s">
        <v>56</v>
      </c>
      <c r="C24" s="4"/>
      <c r="D24" s="4"/>
      <c r="E24" s="4">
        <v>15</v>
      </c>
      <c r="F24" s="10"/>
      <c r="G24" s="9"/>
      <c r="H24" s="4"/>
      <c r="I24" s="4"/>
      <c r="J24" s="4"/>
      <c r="K24" s="4"/>
    </row>
    <row r="25" spans="1:11" ht="15" thickBot="1" x14ac:dyDescent="0.35">
      <c r="A25" s="2">
        <v>22</v>
      </c>
      <c r="B25" s="4" t="s">
        <v>28</v>
      </c>
      <c r="C25" s="4"/>
      <c r="D25" s="4">
        <v>17</v>
      </c>
      <c r="E25" s="4"/>
      <c r="F25" s="5"/>
      <c r="G25" s="10"/>
      <c r="H25" s="4"/>
      <c r="I25" s="4"/>
      <c r="J25" s="4"/>
      <c r="K25" s="4" t="s">
        <v>15</v>
      </c>
    </row>
    <row r="26" spans="1:11" ht="15" thickBot="1" x14ac:dyDescent="0.35">
      <c r="A26" s="2">
        <v>23</v>
      </c>
      <c r="B26" s="4" t="s">
        <v>31</v>
      </c>
      <c r="C26" s="4"/>
      <c r="D26" s="4"/>
      <c r="E26" s="4">
        <v>600</v>
      </c>
      <c r="F26" s="5"/>
      <c r="G26" s="4"/>
      <c r="H26" s="4"/>
      <c r="I26" s="4"/>
      <c r="J26" s="4"/>
      <c r="K26" s="4" t="s">
        <v>32</v>
      </c>
    </row>
    <row r="27" spans="1:11" ht="15" thickBot="1" x14ac:dyDescent="0.35">
      <c r="A27" s="2">
        <v>24</v>
      </c>
      <c r="B27" s="4" t="s">
        <v>33</v>
      </c>
      <c r="C27" s="4"/>
      <c r="D27" s="4"/>
      <c r="E27" s="4">
        <v>840</v>
      </c>
      <c r="F27" s="4"/>
      <c r="G27" s="5"/>
      <c r="H27" s="5"/>
      <c r="I27" s="4"/>
      <c r="J27" s="4"/>
      <c r="K27" s="4" t="s">
        <v>32</v>
      </c>
    </row>
    <row r="28" spans="1:11" ht="15" thickBot="1" x14ac:dyDescent="0.35">
      <c r="A28" s="2">
        <v>25</v>
      </c>
      <c r="B28" s="4" t="s">
        <v>11</v>
      </c>
      <c r="C28" s="4"/>
      <c r="D28" s="4"/>
      <c r="E28" s="4">
        <v>7</v>
      </c>
      <c r="F28" s="4"/>
      <c r="G28" s="5"/>
      <c r="H28" s="5"/>
      <c r="I28" s="5"/>
      <c r="J28" s="4"/>
      <c r="K28" s="4"/>
    </row>
    <row r="29" spans="1:11" ht="15" thickBot="1" x14ac:dyDescent="0.35">
      <c r="A29" s="2">
        <v>26</v>
      </c>
      <c r="B29" s="4" t="s">
        <v>19</v>
      </c>
      <c r="C29" s="4"/>
      <c r="D29" s="4">
        <v>12</v>
      </c>
      <c r="E29" s="4"/>
      <c r="F29" s="4"/>
      <c r="G29" s="5"/>
      <c r="H29" s="5"/>
      <c r="I29" s="4"/>
      <c r="J29" s="4"/>
      <c r="K29" s="4" t="s">
        <v>15</v>
      </c>
    </row>
    <row r="30" spans="1:11" ht="15" thickBot="1" x14ac:dyDescent="0.35">
      <c r="A30" s="2">
        <v>27</v>
      </c>
      <c r="B30" s="4" t="s">
        <v>20</v>
      </c>
      <c r="C30" s="4"/>
      <c r="D30" s="4"/>
      <c r="E30" s="4">
        <v>5</v>
      </c>
      <c r="F30" s="5"/>
      <c r="G30" s="5"/>
      <c r="H30" s="5"/>
      <c r="I30" s="4"/>
      <c r="J30" s="4"/>
      <c r="K30" s="4"/>
    </row>
    <row r="31" spans="1:11" ht="15" thickBot="1" x14ac:dyDescent="0.35">
      <c r="A31" s="2">
        <v>28</v>
      </c>
      <c r="B31" s="4" t="s">
        <v>21</v>
      </c>
      <c r="C31" s="4"/>
      <c r="D31" s="4">
        <v>3</v>
      </c>
      <c r="E31" s="4"/>
      <c r="F31" s="4"/>
      <c r="G31" s="5"/>
      <c r="H31" s="5"/>
      <c r="I31" s="4"/>
      <c r="J31" s="4"/>
      <c r="K31" s="4"/>
    </row>
    <row r="32" spans="1:11" ht="15" thickBot="1" x14ac:dyDescent="0.35">
      <c r="A32" s="2">
        <v>29</v>
      </c>
      <c r="B32" s="4" t="s">
        <v>11</v>
      </c>
      <c r="C32" s="4"/>
      <c r="D32" s="4"/>
      <c r="E32" s="4">
        <v>10</v>
      </c>
      <c r="F32" s="4"/>
      <c r="G32" s="4"/>
      <c r="H32" s="4"/>
      <c r="I32" s="5"/>
      <c r="J32" s="4"/>
      <c r="K32" s="4"/>
    </row>
    <row r="33" spans="1:11" ht="15" thickBot="1" x14ac:dyDescent="0.35">
      <c r="A33" s="2">
        <v>30</v>
      </c>
      <c r="B33" s="4" t="s">
        <v>22</v>
      </c>
      <c r="C33" s="4"/>
      <c r="D33" s="4">
        <v>7</v>
      </c>
      <c r="E33" s="4"/>
      <c r="F33" s="4"/>
      <c r="G33" s="5"/>
      <c r="H33" s="4"/>
      <c r="I33" s="5"/>
      <c r="J33" s="4"/>
      <c r="K33" s="4" t="s">
        <v>15</v>
      </c>
    </row>
    <row r="34" spans="1:11" ht="15" thickBot="1" x14ac:dyDescent="0.35">
      <c r="A34" s="2">
        <v>31</v>
      </c>
      <c r="B34" s="4" t="s">
        <v>34</v>
      </c>
      <c r="C34" s="4">
        <v>6.12</v>
      </c>
      <c r="D34" s="4"/>
      <c r="E34" s="4"/>
      <c r="F34" s="4"/>
      <c r="G34" s="5"/>
      <c r="H34" s="4"/>
      <c r="I34" s="4"/>
      <c r="J34" s="4"/>
      <c r="K34" s="4"/>
    </row>
    <row r="35" spans="1:11" ht="15" thickBot="1" x14ac:dyDescent="0.35">
      <c r="A35" s="2">
        <v>32</v>
      </c>
      <c r="B35" s="4" t="s">
        <v>35</v>
      </c>
      <c r="C35" s="4"/>
      <c r="D35" s="4">
        <v>5</v>
      </c>
      <c r="E35" s="4"/>
      <c r="F35" s="5"/>
      <c r="G35" s="5"/>
      <c r="H35" s="4"/>
      <c r="I35" s="4"/>
      <c r="J35" s="4"/>
      <c r="K35" s="4"/>
    </row>
    <row r="36" spans="1:11" ht="15" thickBot="1" x14ac:dyDescent="0.35">
      <c r="A36" s="2">
        <v>33</v>
      </c>
      <c r="B36" s="4" t="s">
        <v>36</v>
      </c>
      <c r="C36" s="4"/>
      <c r="D36" s="4"/>
      <c r="E36" s="4">
        <v>120</v>
      </c>
      <c r="F36" s="5"/>
      <c r="G36" s="4"/>
      <c r="H36" s="4"/>
      <c r="I36" s="4"/>
      <c r="J36" s="5"/>
      <c r="K36" s="4" t="s">
        <v>32</v>
      </c>
    </row>
    <row r="37" spans="1:11" ht="15" thickBot="1" x14ac:dyDescent="0.35">
      <c r="A37" s="2">
        <v>34</v>
      </c>
      <c r="B37" s="4" t="s">
        <v>37</v>
      </c>
      <c r="C37" s="4"/>
      <c r="D37" s="4">
        <v>5</v>
      </c>
      <c r="E37" s="4"/>
      <c r="F37" s="5"/>
      <c r="G37" s="5"/>
      <c r="H37" s="4"/>
      <c r="I37" s="4"/>
      <c r="J37" s="4"/>
      <c r="K37" s="4"/>
    </row>
    <row r="38" spans="1:11" ht="15" thickBot="1" x14ac:dyDescent="0.35">
      <c r="A38" s="2">
        <v>35</v>
      </c>
      <c r="B38" s="4" t="s">
        <v>38</v>
      </c>
      <c r="C38" s="4"/>
      <c r="D38" s="4"/>
      <c r="E38" s="4">
        <v>30</v>
      </c>
      <c r="F38" s="5"/>
      <c r="G38" s="4"/>
      <c r="H38" s="4"/>
      <c r="I38" s="4"/>
      <c r="J38" s="4"/>
      <c r="K38" s="4"/>
    </row>
    <row r="39" spans="1:11" ht="15" thickBot="1" x14ac:dyDescent="0.35">
      <c r="A39" s="2">
        <v>36</v>
      </c>
      <c r="B39" s="4" t="s">
        <v>33</v>
      </c>
      <c r="C39" s="4"/>
      <c r="D39" s="4"/>
      <c r="E39" s="4">
        <v>1410</v>
      </c>
      <c r="F39" s="4"/>
      <c r="G39" s="5"/>
      <c r="H39" s="4"/>
      <c r="I39" s="4"/>
      <c r="J39" s="4"/>
      <c r="K39" s="4" t="s">
        <v>32</v>
      </c>
    </row>
    <row r="40" spans="1:11" ht="15" thickBot="1" x14ac:dyDescent="0.35">
      <c r="A40" s="2">
        <v>37</v>
      </c>
      <c r="B40" s="4" t="s">
        <v>39</v>
      </c>
      <c r="C40" s="4"/>
      <c r="D40" s="4">
        <v>5</v>
      </c>
      <c r="E40" s="4"/>
      <c r="F40" s="5"/>
      <c r="G40" s="5"/>
      <c r="H40" s="4"/>
      <c r="I40" s="4"/>
      <c r="J40" s="4"/>
      <c r="K40" s="4"/>
    </row>
    <row r="41" spans="1:11" ht="15" thickBot="1" x14ac:dyDescent="0.35">
      <c r="A41" s="2">
        <v>38</v>
      </c>
      <c r="B41" s="4" t="s">
        <v>40</v>
      </c>
      <c r="C41" s="4"/>
      <c r="D41" s="4"/>
      <c r="E41" s="4">
        <v>10</v>
      </c>
      <c r="F41" s="5"/>
      <c r="G41" s="4"/>
      <c r="H41" s="5"/>
      <c r="I41" s="4"/>
      <c r="J41" s="4"/>
      <c r="K41" s="4"/>
    </row>
    <row r="42" spans="1:11" ht="15" thickBot="1" x14ac:dyDescent="0.35">
      <c r="A42" s="2">
        <v>39</v>
      </c>
      <c r="B42" s="4" t="s">
        <v>11</v>
      </c>
      <c r="C42" s="4"/>
      <c r="D42" s="4"/>
      <c r="E42" s="4">
        <v>3</v>
      </c>
      <c r="F42" s="4"/>
      <c r="G42" s="5"/>
      <c r="H42" s="4"/>
      <c r="I42" s="5"/>
      <c r="J42" s="4"/>
      <c r="K42" s="4"/>
    </row>
    <row r="43" spans="1:11" ht="15" thickBot="1" x14ac:dyDescent="0.35">
      <c r="A43" s="2">
        <v>40</v>
      </c>
      <c r="B43" s="4" t="s">
        <v>22</v>
      </c>
      <c r="C43" s="4"/>
      <c r="D43" s="4">
        <v>7</v>
      </c>
      <c r="E43" s="4"/>
      <c r="F43" s="4"/>
      <c r="G43" s="5"/>
      <c r="H43" s="4"/>
      <c r="I43" s="4"/>
      <c r="J43" s="4"/>
      <c r="K43" s="4" t="s">
        <v>15</v>
      </c>
    </row>
    <row r="44" spans="1:11" ht="15" thickBot="1" x14ac:dyDescent="0.35">
      <c r="A44" s="2">
        <v>41</v>
      </c>
      <c r="B44" s="4" t="s">
        <v>10</v>
      </c>
      <c r="C44" s="4">
        <v>0.31</v>
      </c>
      <c r="D44" s="4"/>
      <c r="E44" s="4"/>
      <c r="F44" s="11"/>
      <c r="G44" s="4"/>
      <c r="H44" s="4"/>
      <c r="I44" s="4"/>
      <c r="J44" s="5"/>
      <c r="K44" s="4"/>
    </row>
    <row r="45" spans="1:11" ht="15" thickBot="1" x14ac:dyDescent="0.35">
      <c r="A45" s="2">
        <v>42</v>
      </c>
      <c r="B45" s="4" t="s">
        <v>11</v>
      </c>
      <c r="C45" s="4"/>
      <c r="D45" s="4"/>
      <c r="E45" s="4">
        <v>3</v>
      </c>
      <c r="F45" s="4"/>
      <c r="G45" s="4"/>
      <c r="H45" s="4"/>
      <c r="I45" s="5"/>
      <c r="J45" s="4"/>
      <c r="K45" s="4"/>
    </row>
    <row r="46" spans="1:11" ht="15" thickBot="1" x14ac:dyDescent="0.35">
      <c r="A46" s="2">
        <v>43</v>
      </c>
      <c r="B46" s="4" t="s">
        <v>30</v>
      </c>
      <c r="C46" s="4"/>
      <c r="D46" s="4">
        <v>2</v>
      </c>
      <c r="E46" s="4"/>
      <c r="F46" s="4"/>
      <c r="G46" s="5"/>
      <c r="H46" s="4"/>
      <c r="I46" s="4"/>
      <c r="J46" s="4"/>
      <c r="K46" s="4"/>
    </row>
    <row r="47" spans="1:11" ht="15" thickBot="1" x14ac:dyDescent="0.35">
      <c r="A47" s="2">
        <v>44</v>
      </c>
      <c r="B47" s="4" t="s">
        <v>13</v>
      </c>
      <c r="C47" s="4"/>
      <c r="D47" s="4"/>
      <c r="E47" s="4">
        <v>5</v>
      </c>
      <c r="F47" s="5"/>
      <c r="G47" s="4"/>
      <c r="H47" s="4"/>
      <c r="I47" s="5"/>
      <c r="J47" s="4"/>
      <c r="K47" s="4"/>
    </row>
    <row r="48" spans="1:11" ht="15" thickBot="1" x14ac:dyDescent="0.35">
      <c r="A48" s="2">
        <v>45</v>
      </c>
      <c r="B48" s="4" t="s">
        <v>42</v>
      </c>
      <c r="C48" s="4"/>
      <c r="D48" s="4">
        <v>6</v>
      </c>
      <c r="E48" s="4"/>
      <c r="F48" s="4"/>
      <c r="G48" s="5"/>
      <c r="H48" s="4"/>
      <c r="I48" s="4"/>
      <c r="J48" s="4"/>
      <c r="K48" s="4" t="s">
        <v>15</v>
      </c>
    </row>
    <row r="49" spans="1:11" ht="15" thickBot="1" x14ac:dyDescent="0.35">
      <c r="A49" s="2">
        <v>46</v>
      </c>
      <c r="B49" s="4" t="s">
        <v>48</v>
      </c>
      <c r="C49" s="4"/>
      <c r="D49" s="4"/>
      <c r="E49" s="4">
        <v>8</v>
      </c>
      <c r="F49" s="5"/>
      <c r="G49" s="4"/>
      <c r="H49" s="4"/>
      <c r="I49" s="4"/>
      <c r="J49" s="4"/>
      <c r="K49" s="4"/>
    </row>
    <row r="50" spans="1:11" ht="15" thickBot="1" x14ac:dyDescent="0.35">
      <c r="A50" s="2">
        <v>47</v>
      </c>
      <c r="B50" s="4" t="s">
        <v>43</v>
      </c>
      <c r="C50" s="4"/>
      <c r="D50" s="4">
        <v>3</v>
      </c>
      <c r="E50" s="4"/>
      <c r="F50" s="4"/>
      <c r="G50" s="5"/>
      <c r="H50" s="4"/>
      <c r="I50" s="4"/>
      <c r="J50" s="4"/>
      <c r="K50" s="4"/>
    </row>
    <row r="51" spans="1:11" ht="15" thickBot="1" x14ac:dyDescent="0.35">
      <c r="A51" s="2">
        <v>48</v>
      </c>
      <c r="B51" s="4" t="s">
        <v>29</v>
      </c>
      <c r="C51" s="4"/>
      <c r="D51" s="4"/>
      <c r="E51" s="4">
        <v>5</v>
      </c>
      <c r="F51" s="5"/>
      <c r="G51" s="4"/>
      <c r="H51" s="4"/>
      <c r="I51" s="4"/>
      <c r="J51" s="4"/>
      <c r="K51" s="4"/>
    </row>
    <row r="52" spans="1:11" ht="15" thickBot="1" x14ac:dyDescent="0.35">
      <c r="A52" s="2">
        <v>49</v>
      </c>
      <c r="B52" s="4" t="s">
        <v>11</v>
      </c>
      <c r="C52" s="4"/>
      <c r="D52" s="4"/>
      <c r="E52" s="4">
        <v>3</v>
      </c>
      <c r="F52" s="4"/>
      <c r="G52" s="4"/>
      <c r="H52" s="4"/>
      <c r="I52" s="4"/>
      <c r="J52" s="4"/>
      <c r="K52" s="4"/>
    </row>
    <row r="53" spans="1:11" ht="15" thickBot="1" x14ac:dyDescent="0.35">
      <c r="A53" s="2">
        <v>50</v>
      </c>
      <c r="B53" s="4" t="s">
        <v>22</v>
      </c>
      <c r="C53" s="4"/>
      <c r="D53" s="4">
        <v>10</v>
      </c>
      <c r="E53" s="4"/>
      <c r="F53" s="4"/>
      <c r="G53" s="5"/>
      <c r="H53" s="4"/>
      <c r="I53" s="4"/>
      <c r="J53" s="4"/>
      <c r="K53" s="4" t="s">
        <v>15</v>
      </c>
    </row>
    <row r="54" spans="1:11" ht="15" thickBot="1" x14ac:dyDescent="0.35">
      <c r="A54" s="2">
        <v>51</v>
      </c>
      <c r="B54" s="4" t="s">
        <v>50</v>
      </c>
      <c r="C54" s="4"/>
      <c r="D54" s="4"/>
      <c r="E54" s="4">
        <v>30</v>
      </c>
      <c r="F54" s="5"/>
      <c r="G54" s="4"/>
      <c r="H54" s="4"/>
      <c r="I54" s="5"/>
      <c r="J54" s="4"/>
      <c r="K54" s="4"/>
    </row>
    <row r="55" spans="1:11" ht="15" thickBot="1" x14ac:dyDescent="0.35">
      <c r="A55" s="2">
        <v>52</v>
      </c>
      <c r="B55" s="4" t="s">
        <v>11</v>
      </c>
      <c r="C55" s="4"/>
      <c r="D55" s="4"/>
      <c r="E55" s="4">
        <v>5</v>
      </c>
      <c r="F55" s="5"/>
      <c r="G55" s="5"/>
      <c r="H55" s="4"/>
      <c r="I55" s="5"/>
      <c r="J55" s="4"/>
      <c r="K55" s="4"/>
    </row>
    <row r="56" spans="1:11" ht="15" thickBot="1" x14ac:dyDescent="0.35">
      <c r="A56" s="2">
        <v>53</v>
      </c>
      <c r="B56" s="4" t="s">
        <v>51</v>
      </c>
      <c r="C56" s="4"/>
      <c r="D56" s="4">
        <v>7</v>
      </c>
      <c r="E56" s="4"/>
      <c r="F56" s="4"/>
      <c r="G56" s="5"/>
      <c r="H56" s="4"/>
      <c r="I56" s="4"/>
      <c r="J56" s="4"/>
      <c r="K56" s="4" t="s">
        <v>15</v>
      </c>
    </row>
    <row r="57" spans="1:11" ht="15" thickBot="1" x14ac:dyDescent="0.35">
      <c r="A57" s="2"/>
      <c r="B57" s="4" t="s">
        <v>52</v>
      </c>
      <c r="C57" s="4"/>
      <c r="D57" s="4">
        <f>SUM(D4:D56)</f>
        <v>133</v>
      </c>
      <c r="E57" s="4">
        <f>SUM(E4:E56)</f>
        <v>3180</v>
      </c>
      <c r="F57" s="6" cm="1">
        <f t="array" aca="1" ref="F57" ca="1">ContarCeldasConCirculos(F4:F56)</f>
        <v>16</v>
      </c>
      <c r="G57" s="6" cm="1">
        <f t="array" aca="1" ref="G57" ca="1">ContarCeldasConCirculos(G4:G56)</f>
        <v>22</v>
      </c>
      <c r="H57" s="6" cm="1">
        <f t="array" aca="1" ref="H57" ca="1">ContarCeldasConCirculos(H4:H56)</f>
        <v>2</v>
      </c>
      <c r="I57" s="6" cm="1">
        <f t="array" aca="1" ref="I57" ca="1">ContarCeldasConCirculos(I4:I56)</f>
        <v>9</v>
      </c>
      <c r="J57" s="6" cm="1">
        <f t="array" aca="1" ref="J57" ca="1">ContarCeldasConCirculos(J4:J56)</f>
        <v>4</v>
      </c>
      <c r="K57" s="3"/>
    </row>
  </sheetData>
  <mergeCells count="2">
    <mergeCell ref="B1:K1"/>
    <mergeCell ref="F2:J2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3AF2A-B3F4-48DB-A8C0-5767AF46C5EB}">
  <sheetPr codeName="Hoja2"/>
  <dimension ref="A1:K66"/>
  <sheetViews>
    <sheetView zoomScale="55" zoomScaleNormal="55" workbookViewId="0">
      <selection activeCell="Q23" sqref="Q23"/>
    </sheetView>
  </sheetViews>
  <sheetFormatPr baseColWidth="10" defaultRowHeight="14.4" x14ac:dyDescent="0.3"/>
  <cols>
    <col min="1" max="1" width="4.33203125" bestFit="1" customWidth="1"/>
    <col min="2" max="2" width="22.21875" customWidth="1"/>
    <col min="6" max="10" width="7" customWidth="1"/>
  </cols>
  <sheetData>
    <row r="1" spans="1:11" ht="15" thickBot="1" x14ac:dyDescent="0.35">
      <c r="A1" s="1" t="s">
        <v>0</v>
      </c>
      <c r="B1" s="13" t="s">
        <v>53</v>
      </c>
      <c r="C1" s="14"/>
      <c r="D1" s="14"/>
      <c r="E1" s="14"/>
      <c r="F1" s="14"/>
      <c r="G1" s="14"/>
      <c r="H1" s="14"/>
      <c r="I1" s="14"/>
      <c r="J1" s="14"/>
      <c r="K1" s="15"/>
    </row>
    <row r="2" spans="1:11" ht="15" thickBot="1" x14ac:dyDescent="0.35">
      <c r="A2" s="2"/>
      <c r="B2" s="3" t="s">
        <v>1</v>
      </c>
      <c r="C2" s="3" t="s">
        <v>2</v>
      </c>
      <c r="D2" s="3" t="s">
        <v>3</v>
      </c>
      <c r="E2" s="3" t="s">
        <v>4</v>
      </c>
      <c r="F2" s="16" t="s">
        <v>5</v>
      </c>
      <c r="G2" s="17"/>
      <c r="H2" s="17"/>
      <c r="I2" s="17"/>
      <c r="J2" s="18"/>
      <c r="K2" s="3" t="s">
        <v>6</v>
      </c>
    </row>
    <row r="3" spans="1:11" ht="15" thickBot="1" x14ac:dyDescent="0.35">
      <c r="A3" s="2"/>
      <c r="B3" s="4"/>
      <c r="C3" s="4" t="s">
        <v>7</v>
      </c>
      <c r="D3" s="4" t="s">
        <v>8</v>
      </c>
      <c r="E3" s="4" t="s">
        <v>9</v>
      </c>
      <c r="F3" s="5"/>
      <c r="G3" s="5"/>
      <c r="H3" s="4"/>
      <c r="I3" s="5"/>
      <c r="J3" s="5"/>
      <c r="K3" s="4"/>
    </row>
    <row r="4" spans="1:11" ht="15" thickBot="1" x14ac:dyDescent="0.35">
      <c r="A4" s="2">
        <v>1</v>
      </c>
      <c r="B4" s="4" t="s">
        <v>10</v>
      </c>
      <c r="C4" s="4">
        <v>1.63</v>
      </c>
      <c r="D4" s="4"/>
      <c r="E4" s="4"/>
      <c r="F4" s="4"/>
      <c r="G4" s="5"/>
      <c r="H4" s="5"/>
      <c r="I4" s="4"/>
      <c r="J4" s="4"/>
      <c r="K4" s="4"/>
    </row>
    <row r="5" spans="1:11" ht="15" thickBot="1" x14ac:dyDescent="0.35">
      <c r="A5" s="2">
        <v>2</v>
      </c>
      <c r="B5" s="4" t="s">
        <v>11</v>
      </c>
      <c r="C5" s="4"/>
      <c r="D5" s="4"/>
      <c r="E5" s="4">
        <v>3</v>
      </c>
      <c r="F5" s="4"/>
      <c r="G5" s="5"/>
      <c r="H5" s="4"/>
      <c r="I5" s="5"/>
      <c r="J5" s="4"/>
      <c r="K5" s="4"/>
    </row>
    <row r="6" spans="1:11" ht="15" thickBot="1" x14ac:dyDescent="0.35">
      <c r="A6" s="2">
        <v>3</v>
      </c>
      <c r="B6" s="4" t="s">
        <v>12</v>
      </c>
      <c r="C6" s="4"/>
      <c r="D6" s="4">
        <v>2</v>
      </c>
      <c r="E6" s="4"/>
      <c r="F6" s="5"/>
      <c r="G6" s="5"/>
      <c r="H6" s="4"/>
      <c r="I6" s="4"/>
      <c r="J6" s="5"/>
      <c r="K6" s="4"/>
    </row>
    <row r="7" spans="1:11" ht="15" thickBot="1" x14ac:dyDescent="0.35">
      <c r="A7" s="2">
        <v>4</v>
      </c>
      <c r="B7" s="4" t="s">
        <v>13</v>
      </c>
      <c r="C7" s="4"/>
      <c r="D7" s="4"/>
      <c r="E7" s="4">
        <v>5</v>
      </c>
      <c r="F7" s="5"/>
      <c r="G7" s="4"/>
      <c r="H7" s="4"/>
      <c r="I7" s="4"/>
      <c r="J7" s="4"/>
      <c r="K7" s="4"/>
    </row>
    <row r="8" spans="1:11" ht="15" thickBot="1" x14ac:dyDescent="0.35">
      <c r="A8" s="2">
        <v>5</v>
      </c>
      <c r="B8" s="4" t="s">
        <v>14</v>
      </c>
      <c r="C8" s="4"/>
      <c r="D8" s="4">
        <v>6</v>
      </c>
      <c r="E8" s="4"/>
      <c r="F8" s="5"/>
      <c r="G8" s="5"/>
      <c r="H8" s="4"/>
      <c r="I8" s="4"/>
      <c r="J8" s="4"/>
      <c r="K8" s="4" t="s">
        <v>15</v>
      </c>
    </row>
    <row r="9" spans="1:11" ht="15" thickBot="1" x14ac:dyDescent="0.35">
      <c r="A9" s="2">
        <v>6</v>
      </c>
      <c r="B9" s="4" t="s">
        <v>16</v>
      </c>
      <c r="C9" s="4"/>
      <c r="D9" s="4"/>
      <c r="E9" s="4">
        <v>10</v>
      </c>
      <c r="F9" s="5"/>
      <c r="G9" s="4"/>
      <c r="H9" s="4"/>
      <c r="I9" s="4"/>
      <c r="J9" s="4"/>
      <c r="K9" s="4"/>
    </row>
    <row r="10" spans="1:11" ht="15" thickBot="1" x14ac:dyDescent="0.35">
      <c r="A10" s="2">
        <v>7</v>
      </c>
      <c r="B10" s="4" t="s">
        <v>17</v>
      </c>
      <c r="C10" s="4"/>
      <c r="D10" s="4">
        <v>8</v>
      </c>
      <c r="E10" s="4"/>
      <c r="F10" s="5"/>
      <c r="G10" s="5"/>
      <c r="H10" s="4"/>
      <c r="I10" s="4"/>
      <c r="J10" s="4"/>
      <c r="K10" s="4" t="s">
        <v>15</v>
      </c>
    </row>
    <row r="11" spans="1:11" ht="15" thickBot="1" x14ac:dyDescent="0.35">
      <c r="A11" s="2">
        <v>8</v>
      </c>
      <c r="B11" s="4" t="s">
        <v>18</v>
      </c>
      <c r="C11" s="4"/>
      <c r="D11" s="4"/>
      <c r="E11" s="4">
        <v>15</v>
      </c>
      <c r="F11" s="5"/>
      <c r="G11" s="4"/>
      <c r="H11" s="4"/>
      <c r="I11" s="4"/>
      <c r="J11" s="4"/>
      <c r="K11" s="4"/>
    </row>
    <row r="12" spans="1:11" ht="15" thickBot="1" x14ac:dyDescent="0.35">
      <c r="A12" s="2">
        <v>9</v>
      </c>
      <c r="B12" s="4" t="s">
        <v>19</v>
      </c>
      <c r="C12" s="4"/>
      <c r="D12" s="4">
        <v>2</v>
      </c>
      <c r="E12" s="4"/>
      <c r="F12" s="5"/>
      <c r="G12" s="5"/>
      <c r="H12" s="4"/>
      <c r="I12" s="4"/>
      <c r="J12" s="4"/>
      <c r="K12" s="4"/>
    </row>
    <row r="13" spans="1:11" ht="15" thickBot="1" x14ac:dyDescent="0.35">
      <c r="A13" s="2">
        <v>10</v>
      </c>
      <c r="B13" s="4" t="s">
        <v>20</v>
      </c>
      <c r="C13" s="4"/>
      <c r="D13" s="4"/>
      <c r="E13" s="4">
        <v>5</v>
      </c>
      <c r="F13" s="5"/>
      <c r="G13" s="4"/>
      <c r="H13" s="4"/>
      <c r="I13" s="4"/>
      <c r="J13" s="4"/>
      <c r="K13" s="4"/>
    </row>
    <row r="14" spans="1:11" ht="15" thickBot="1" x14ac:dyDescent="0.35">
      <c r="A14" s="2">
        <v>11</v>
      </c>
      <c r="B14" s="4" t="s">
        <v>21</v>
      </c>
      <c r="C14" s="4"/>
      <c r="D14" s="4">
        <v>3</v>
      </c>
      <c r="E14" s="4"/>
      <c r="F14" s="4"/>
      <c r="G14" s="5"/>
      <c r="H14" s="4"/>
      <c r="I14" s="4"/>
      <c r="J14" s="4"/>
      <c r="K14" s="4"/>
    </row>
    <row r="15" spans="1:11" ht="15" thickBot="1" x14ac:dyDescent="0.35">
      <c r="A15" s="2">
        <v>12</v>
      </c>
      <c r="B15" s="4" t="s">
        <v>11</v>
      </c>
      <c r="C15" s="4"/>
      <c r="D15" s="4"/>
      <c r="E15" s="4">
        <v>10</v>
      </c>
      <c r="F15" s="4"/>
      <c r="G15" s="5"/>
      <c r="H15" s="4"/>
      <c r="I15" s="5"/>
      <c r="J15" s="4"/>
      <c r="K15" s="4"/>
    </row>
    <row r="16" spans="1:11" ht="15" thickBot="1" x14ac:dyDescent="0.35">
      <c r="A16" s="2">
        <v>13</v>
      </c>
      <c r="B16" s="4" t="s">
        <v>22</v>
      </c>
      <c r="C16" s="4"/>
      <c r="D16" s="4">
        <v>7</v>
      </c>
      <c r="E16" s="4"/>
      <c r="F16" s="4"/>
      <c r="G16" s="5"/>
      <c r="H16" s="4"/>
      <c r="I16" s="4"/>
      <c r="J16" s="4"/>
      <c r="K16" s="4" t="s">
        <v>15</v>
      </c>
    </row>
    <row r="17" spans="1:11" ht="15" thickBot="1" x14ac:dyDescent="0.35">
      <c r="A17" s="2">
        <v>14</v>
      </c>
      <c r="B17" s="4" t="s">
        <v>10</v>
      </c>
      <c r="C17" s="4">
        <v>0.82</v>
      </c>
      <c r="D17" s="4"/>
      <c r="E17" s="4"/>
      <c r="F17" s="4"/>
      <c r="G17" s="8"/>
      <c r="H17" s="4"/>
      <c r="I17" s="4"/>
      <c r="J17" s="4"/>
      <c r="K17" s="4"/>
    </row>
    <row r="18" spans="1:11" ht="15" thickBot="1" x14ac:dyDescent="0.35">
      <c r="A18" s="2">
        <v>15</v>
      </c>
      <c r="B18" s="4" t="s">
        <v>11</v>
      </c>
      <c r="C18" s="4"/>
      <c r="D18" s="4"/>
      <c r="E18" s="4">
        <v>3</v>
      </c>
      <c r="F18" s="7"/>
      <c r="G18" s="9"/>
      <c r="H18" s="4"/>
      <c r="I18" s="5"/>
      <c r="J18" s="5"/>
      <c r="K18" s="4"/>
    </row>
    <row r="19" spans="1:11" ht="15" thickBot="1" x14ac:dyDescent="0.35">
      <c r="A19" s="2">
        <v>16</v>
      </c>
      <c r="B19" s="4" t="s">
        <v>23</v>
      </c>
      <c r="C19" s="4"/>
      <c r="D19" s="4">
        <v>2</v>
      </c>
      <c r="E19" s="4"/>
      <c r="F19" s="9"/>
      <c r="G19" s="5"/>
      <c r="H19" s="4"/>
      <c r="I19" s="4"/>
      <c r="J19" s="4"/>
      <c r="K19" s="4"/>
    </row>
    <row r="20" spans="1:11" ht="15" thickBot="1" x14ac:dyDescent="0.35">
      <c r="A20" s="2">
        <v>17</v>
      </c>
      <c r="B20" s="4" t="s">
        <v>13</v>
      </c>
      <c r="C20" s="4"/>
      <c r="D20" s="4"/>
      <c r="E20" s="4">
        <v>5</v>
      </c>
      <c r="F20" s="4"/>
      <c r="G20" s="9"/>
      <c r="H20" s="4"/>
      <c r="I20" s="4"/>
      <c r="J20" s="4"/>
      <c r="K20" s="4"/>
    </row>
    <row r="21" spans="1:11" ht="15" thickBot="1" x14ac:dyDescent="0.35">
      <c r="A21" s="2">
        <v>18</v>
      </c>
      <c r="B21" s="4" t="s">
        <v>24</v>
      </c>
      <c r="C21" s="4"/>
      <c r="D21" s="4">
        <v>6</v>
      </c>
      <c r="E21" s="4"/>
      <c r="F21" s="9"/>
      <c r="G21" s="5"/>
      <c r="H21" s="4"/>
      <c r="I21" s="4"/>
      <c r="J21" s="4"/>
      <c r="K21" s="4" t="s">
        <v>15</v>
      </c>
    </row>
    <row r="22" spans="1:11" ht="15" thickBot="1" x14ac:dyDescent="0.35">
      <c r="A22" s="2">
        <v>19</v>
      </c>
      <c r="B22" s="4" t="s">
        <v>25</v>
      </c>
      <c r="C22" s="4"/>
      <c r="D22" s="4"/>
      <c r="E22" s="4">
        <v>6</v>
      </c>
      <c r="F22" s="4"/>
      <c r="G22" s="9"/>
      <c r="H22" s="4"/>
      <c r="I22" s="4"/>
      <c r="J22" s="4"/>
      <c r="K22" s="4"/>
    </row>
    <row r="23" spans="1:11" ht="15" thickBot="1" x14ac:dyDescent="0.35">
      <c r="A23" s="2">
        <v>20</v>
      </c>
      <c r="B23" s="4" t="s">
        <v>26</v>
      </c>
      <c r="C23" s="4"/>
      <c r="D23" s="4">
        <v>3</v>
      </c>
      <c r="E23" s="4"/>
      <c r="F23" s="9"/>
      <c r="G23" s="5"/>
      <c r="H23" s="4"/>
      <c r="I23" s="4"/>
      <c r="J23" s="4"/>
      <c r="K23" s="4"/>
    </row>
    <row r="24" spans="1:11" ht="15" thickBot="1" x14ac:dyDescent="0.35">
      <c r="A24" s="2">
        <v>21</v>
      </c>
      <c r="B24" s="4" t="s">
        <v>27</v>
      </c>
      <c r="C24" s="4"/>
      <c r="D24" s="4"/>
      <c r="E24" s="4">
        <v>10</v>
      </c>
      <c r="F24" s="4"/>
      <c r="G24" s="9"/>
      <c r="H24" s="4"/>
      <c r="I24" s="4"/>
      <c r="J24" s="5"/>
      <c r="K24" s="4"/>
    </row>
    <row r="25" spans="1:11" ht="15" thickBot="1" x14ac:dyDescent="0.35">
      <c r="A25" s="2">
        <v>22</v>
      </c>
      <c r="B25" s="4" t="s">
        <v>28</v>
      </c>
      <c r="C25" s="4"/>
      <c r="D25" s="4">
        <v>7</v>
      </c>
      <c r="E25" s="4"/>
      <c r="F25" s="9"/>
      <c r="G25" s="5"/>
      <c r="H25" s="4"/>
      <c r="I25" s="4"/>
      <c r="J25" s="4"/>
      <c r="K25" s="4" t="s">
        <v>15</v>
      </c>
    </row>
    <row r="26" spans="1:11" ht="15" thickBot="1" x14ac:dyDescent="0.35">
      <c r="A26" s="2">
        <v>23</v>
      </c>
      <c r="B26" s="4" t="s">
        <v>29</v>
      </c>
      <c r="C26" s="4"/>
      <c r="D26" s="4"/>
      <c r="E26" s="4">
        <v>5</v>
      </c>
      <c r="F26" s="4"/>
      <c r="G26" s="9"/>
      <c r="H26" s="4"/>
      <c r="I26" s="4"/>
      <c r="J26" s="4"/>
      <c r="K26" s="4"/>
    </row>
    <row r="27" spans="1:11" ht="15" thickBot="1" x14ac:dyDescent="0.35">
      <c r="A27" s="2">
        <v>24</v>
      </c>
      <c r="B27" s="4" t="s">
        <v>11</v>
      </c>
      <c r="C27" s="4"/>
      <c r="D27" s="4"/>
      <c r="E27" s="4">
        <v>3</v>
      </c>
      <c r="F27" s="4"/>
      <c r="G27" s="5"/>
      <c r="H27" s="4"/>
      <c r="I27" s="5"/>
      <c r="J27" s="4"/>
      <c r="K27" s="4"/>
    </row>
    <row r="28" spans="1:11" ht="15" thickBot="1" x14ac:dyDescent="0.35">
      <c r="A28" s="2">
        <v>25</v>
      </c>
      <c r="B28" s="4" t="s">
        <v>30</v>
      </c>
      <c r="C28" s="4"/>
      <c r="D28" s="4">
        <v>17</v>
      </c>
      <c r="E28" s="4"/>
      <c r="F28" s="5"/>
      <c r="G28" s="10"/>
      <c r="H28" s="4"/>
      <c r="I28" s="4"/>
      <c r="J28" s="4"/>
      <c r="K28" s="4" t="s">
        <v>15</v>
      </c>
    </row>
    <row r="29" spans="1:11" ht="15" thickBot="1" x14ac:dyDescent="0.35">
      <c r="A29" s="2">
        <v>26</v>
      </c>
      <c r="B29" s="4" t="s">
        <v>31</v>
      </c>
      <c r="C29" s="4"/>
      <c r="D29" s="4"/>
      <c r="E29" s="4">
        <v>600</v>
      </c>
      <c r="F29" s="5"/>
      <c r="G29" s="4"/>
      <c r="H29" s="4"/>
      <c r="I29" s="4"/>
      <c r="J29" s="4"/>
      <c r="K29" s="4" t="s">
        <v>32</v>
      </c>
    </row>
    <row r="30" spans="1:11" ht="15" thickBot="1" x14ac:dyDescent="0.35">
      <c r="A30" s="2">
        <v>27</v>
      </c>
      <c r="B30" s="4" t="s">
        <v>33</v>
      </c>
      <c r="C30" s="4"/>
      <c r="D30" s="4"/>
      <c r="E30" s="4">
        <v>840</v>
      </c>
      <c r="F30" s="4"/>
      <c r="G30" s="5"/>
      <c r="H30" s="5"/>
      <c r="I30" s="4"/>
      <c r="J30" s="4"/>
      <c r="K30" s="4" t="s">
        <v>32</v>
      </c>
    </row>
    <row r="31" spans="1:11" ht="15" thickBot="1" x14ac:dyDescent="0.35">
      <c r="A31" s="2">
        <v>28</v>
      </c>
      <c r="B31" s="4" t="s">
        <v>11</v>
      </c>
      <c r="C31" s="4"/>
      <c r="D31" s="4"/>
      <c r="E31" s="4">
        <v>3</v>
      </c>
      <c r="F31" s="4"/>
      <c r="G31" s="4"/>
      <c r="H31" s="4"/>
      <c r="I31" s="5"/>
      <c r="J31" s="4"/>
      <c r="K31" s="4"/>
    </row>
    <row r="32" spans="1:11" ht="15" thickBot="1" x14ac:dyDescent="0.35">
      <c r="A32" s="2">
        <v>29</v>
      </c>
      <c r="B32" s="4" t="s">
        <v>22</v>
      </c>
      <c r="C32" s="4"/>
      <c r="D32" s="4">
        <v>10</v>
      </c>
      <c r="E32" s="4"/>
      <c r="F32" s="4"/>
      <c r="G32" s="5"/>
      <c r="H32" s="4"/>
      <c r="I32" s="5"/>
      <c r="J32" s="4"/>
      <c r="K32" s="4" t="s">
        <v>15</v>
      </c>
    </row>
    <row r="33" spans="1:11" ht="15" thickBot="1" x14ac:dyDescent="0.35">
      <c r="A33" s="2">
        <v>30</v>
      </c>
      <c r="B33" s="4" t="s">
        <v>34</v>
      </c>
      <c r="C33" s="4">
        <v>6.12</v>
      </c>
      <c r="D33" s="4"/>
      <c r="E33" s="4"/>
      <c r="F33" s="4"/>
      <c r="G33" s="5"/>
      <c r="H33" s="4"/>
      <c r="I33" s="4"/>
      <c r="J33" s="4"/>
      <c r="K33" s="4"/>
    </row>
    <row r="34" spans="1:11" ht="15" thickBot="1" x14ac:dyDescent="0.35">
      <c r="A34" s="2">
        <v>31</v>
      </c>
      <c r="B34" s="4" t="s">
        <v>35</v>
      </c>
      <c r="C34" s="4"/>
      <c r="D34" s="4">
        <v>5</v>
      </c>
      <c r="E34" s="4"/>
      <c r="F34" s="5"/>
      <c r="G34" s="5"/>
      <c r="H34" s="4"/>
      <c r="I34" s="4"/>
      <c r="J34" s="4"/>
      <c r="K34" s="4"/>
    </row>
    <row r="35" spans="1:11" ht="15" thickBot="1" x14ac:dyDescent="0.35">
      <c r="A35" s="2">
        <v>32</v>
      </c>
      <c r="B35" s="4" t="s">
        <v>36</v>
      </c>
      <c r="C35" s="4"/>
      <c r="D35" s="4"/>
      <c r="E35" s="4">
        <v>120</v>
      </c>
      <c r="F35" s="5"/>
      <c r="G35" s="4"/>
      <c r="H35" s="4"/>
      <c r="I35" s="4"/>
      <c r="J35" s="5"/>
      <c r="K35" s="4" t="s">
        <v>32</v>
      </c>
    </row>
    <row r="36" spans="1:11" ht="15" thickBot="1" x14ac:dyDescent="0.35">
      <c r="A36" s="2">
        <v>33</v>
      </c>
      <c r="B36" s="4" t="s">
        <v>37</v>
      </c>
      <c r="C36" s="4"/>
      <c r="D36" s="4">
        <v>5</v>
      </c>
      <c r="E36" s="4"/>
      <c r="F36" s="5"/>
      <c r="G36" s="5"/>
      <c r="H36" s="4"/>
      <c r="I36" s="4"/>
      <c r="J36" s="4"/>
      <c r="K36" s="4"/>
    </row>
    <row r="37" spans="1:11" ht="15" thickBot="1" x14ac:dyDescent="0.35">
      <c r="A37" s="2">
        <v>34</v>
      </c>
      <c r="B37" s="4" t="s">
        <v>38</v>
      </c>
      <c r="C37" s="4"/>
      <c r="D37" s="4"/>
      <c r="E37" s="4">
        <v>30</v>
      </c>
      <c r="F37" s="5"/>
      <c r="G37" s="4"/>
      <c r="H37" s="4"/>
      <c r="I37" s="4"/>
      <c r="J37" s="4"/>
      <c r="K37" s="4"/>
    </row>
    <row r="38" spans="1:11" ht="15" thickBot="1" x14ac:dyDescent="0.35">
      <c r="A38" s="2">
        <v>35</v>
      </c>
      <c r="B38" s="4" t="s">
        <v>33</v>
      </c>
      <c r="C38" s="4"/>
      <c r="D38" s="4"/>
      <c r="E38" s="4">
        <v>1410</v>
      </c>
      <c r="F38" s="4"/>
      <c r="G38" s="5"/>
      <c r="H38" s="4"/>
      <c r="I38" s="4"/>
      <c r="J38" s="4"/>
      <c r="K38" s="4" t="s">
        <v>32</v>
      </c>
    </row>
    <row r="39" spans="1:11" ht="15" thickBot="1" x14ac:dyDescent="0.35">
      <c r="A39" s="2">
        <v>36</v>
      </c>
      <c r="B39" s="4" t="s">
        <v>39</v>
      </c>
      <c r="C39" s="4"/>
      <c r="D39" s="4">
        <v>5</v>
      </c>
      <c r="E39" s="4"/>
      <c r="F39" s="5"/>
      <c r="G39" s="5"/>
      <c r="H39" s="4"/>
      <c r="I39" s="4"/>
      <c r="J39" s="4"/>
      <c r="K39" s="4"/>
    </row>
    <row r="40" spans="1:11" ht="15" thickBot="1" x14ac:dyDescent="0.35">
      <c r="A40" s="2">
        <v>37</v>
      </c>
      <c r="B40" s="4" t="s">
        <v>40</v>
      </c>
      <c r="C40" s="4"/>
      <c r="D40" s="4"/>
      <c r="E40" s="4">
        <v>10</v>
      </c>
      <c r="F40" s="5"/>
      <c r="G40" s="4"/>
      <c r="H40" s="5"/>
      <c r="I40" s="4"/>
      <c r="J40" s="4"/>
      <c r="K40" s="4"/>
    </row>
    <row r="41" spans="1:11" ht="15" thickBot="1" x14ac:dyDescent="0.35">
      <c r="A41" s="2">
        <v>38</v>
      </c>
      <c r="B41" s="4" t="s">
        <v>11</v>
      </c>
      <c r="C41" s="4"/>
      <c r="D41" s="4"/>
      <c r="E41" s="4">
        <v>3</v>
      </c>
      <c r="F41" s="4"/>
      <c r="G41" s="5"/>
      <c r="H41" s="4"/>
      <c r="I41" s="5"/>
      <c r="J41" s="4"/>
      <c r="K41" s="4"/>
    </row>
    <row r="42" spans="1:11" ht="15" thickBot="1" x14ac:dyDescent="0.35">
      <c r="A42" s="2">
        <v>39</v>
      </c>
      <c r="B42" s="4" t="s">
        <v>22</v>
      </c>
      <c r="C42" s="4"/>
      <c r="D42" s="4">
        <v>7</v>
      </c>
      <c r="E42" s="4"/>
      <c r="F42" s="4"/>
      <c r="G42" s="5"/>
      <c r="H42" s="4"/>
      <c r="I42" s="4"/>
      <c r="J42" s="4"/>
      <c r="K42" s="4" t="s">
        <v>15</v>
      </c>
    </row>
    <row r="43" spans="1:11" ht="15" thickBot="1" x14ac:dyDescent="0.35">
      <c r="A43" s="2">
        <v>40</v>
      </c>
      <c r="B43" s="4" t="s">
        <v>10</v>
      </c>
      <c r="C43" s="4" t="s">
        <v>41</v>
      </c>
      <c r="D43" s="4"/>
      <c r="E43" s="4"/>
      <c r="F43" s="4"/>
      <c r="G43" s="4"/>
      <c r="H43" s="4"/>
      <c r="I43" s="5"/>
      <c r="J43" s="5"/>
      <c r="K43" s="4"/>
    </row>
    <row r="44" spans="1:11" ht="15" thickBot="1" x14ac:dyDescent="0.35">
      <c r="A44" s="2">
        <v>41</v>
      </c>
      <c r="B44" s="4" t="s">
        <v>11</v>
      </c>
      <c r="C44" s="4"/>
      <c r="D44" s="4"/>
      <c r="E44" s="4">
        <v>3</v>
      </c>
      <c r="F44" s="4"/>
      <c r="G44" s="4"/>
      <c r="H44" s="4"/>
      <c r="I44" s="5"/>
      <c r="J44" s="4"/>
      <c r="K44" s="4"/>
    </row>
    <row r="45" spans="1:11" ht="15" thickBot="1" x14ac:dyDescent="0.35">
      <c r="A45" s="2">
        <v>42</v>
      </c>
      <c r="B45" s="4" t="s">
        <v>42</v>
      </c>
      <c r="C45" s="4"/>
      <c r="D45" s="4">
        <v>2</v>
      </c>
      <c r="E45" s="4"/>
      <c r="F45" s="4"/>
      <c r="G45" s="5"/>
      <c r="H45" s="4"/>
      <c r="I45" s="4"/>
      <c r="J45" s="4"/>
      <c r="K45" s="4"/>
    </row>
    <row r="46" spans="1:11" ht="15" thickBot="1" x14ac:dyDescent="0.35">
      <c r="A46" s="2">
        <v>43</v>
      </c>
      <c r="B46" s="4" t="s">
        <v>13</v>
      </c>
      <c r="C46" s="4"/>
      <c r="D46" s="4"/>
      <c r="E46" s="4">
        <v>5</v>
      </c>
      <c r="F46" s="5"/>
      <c r="G46" s="4"/>
      <c r="H46" s="4"/>
      <c r="I46" s="4"/>
      <c r="J46" s="4"/>
      <c r="K46" s="4"/>
    </row>
    <row r="47" spans="1:11" ht="15" thickBot="1" x14ac:dyDescent="0.35">
      <c r="A47" s="2">
        <v>44</v>
      </c>
      <c r="B47" s="4" t="s">
        <v>43</v>
      </c>
      <c r="C47" s="4"/>
      <c r="D47" s="4">
        <v>6</v>
      </c>
      <c r="E47" s="4"/>
      <c r="F47" s="4"/>
      <c r="G47" s="5"/>
      <c r="H47" s="5"/>
      <c r="I47" s="4"/>
      <c r="J47" s="4"/>
      <c r="K47" s="4" t="s">
        <v>15</v>
      </c>
    </row>
    <row r="48" spans="1:11" ht="15" thickBot="1" x14ac:dyDescent="0.35">
      <c r="A48" s="2">
        <v>45</v>
      </c>
      <c r="B48" s="4" t="s">
        <v>44</v>
      </c>
      <c r="C48" s="4"/>
      <c r="D48" s="4"/>
      <c r="E48" s="4">
        <v>15</v>
      </c>
      <c r="F48" s="5"/>
      <c r="G48" s="4"/>
      <c r="H48" s="4"/>
      <c r="I48" s="4"/>
      <c r="J48" s="4"/>
      <c r="K48" s="4"/>
    </row>
    <row r="49" spans="1:11" ht="15" thickBot="1" x14ac:dyDescent="0.35">
      <c r="A49" s="2">
        <v>46</v>
      </c>
      <c r="B49" s="4" t="s">
        <v>45</v>
      </c>
      <c r="C49" s="4"/>
      <c r="D49" s="4">
        <v>3</v>
      </c>
      <c r="E49" s="4"/>
      <c r="F49" s="4"/>
      <c r="G49" s="5"/>
      <c r="H49" s="4"/>
      <c r="I49" s="4"/>
      <c r="J49" s="4"/>
      <c r="K49" s="4"/>
    </row>
    <row r="50" spans="1:11" ht="15" thickBot="1" x14ac:dyDescent="0.35">
      <c r="A50" s="2">
        <v>47</v>
      </c>
      <c r="B50" s="4" t="s">
        <v>29</v>
      </c>
      <c r="C50" s="4"/>
      <c r="D50" s="4"/>
      <c r="E50" s="4">
        <v>5</v>
      </c>
      <c r="F50" s="5"/>
      <c r="G50" s="4"/>
      <c r="H50" s="4"/>
      <c r="I50" s="4"/>
      <c r="J50" s="4"/>
      <c r="K50" s="4"/>
    </row>
    <row r="51" spans="1:11" ht="15" thickBot="1" x14ac:dyDescent="0.35">
      <c r="A51" s="2">
        <v>48</v>
      </c>
      <c r="B51" s="4" t="s">
        <v>11</v>
      </c>
      <c r="C51" s="4"/>
      <c r="D51" s="4"/>
      <c r="E51" s="4">
        <v>3</v>
      </c>
      <c r="F51" s="4"/>
      <c r="G51" s="4"/>
      <c r="H51" s="4"/>
      <c r="I51" s="4"/>
      <c r="J51" s="4"/>
      <c r="K51" s="4"/>
    </row>
    <row r="52" spans="1:11" ht="15" thickBot="1" x14ac:dyDescent="0.35">
      <c r="A52" s="2">
        <v>49</v>
      </c>
      <c r="B52" s="4" t="s">
        <v>22</v>
      </c>
      <c r="C52" s="4"/>
      <c r="D52" s="4">
        <v>10</v>
      </c>
      <c r="E52" s="4"/>
      <c r="F52" s="9"/>
      <c r="G52" s="11"/>
      <c r="H52" s="4"/>
      <c r="I52" s="4"/>
      <c r="J52" s="4"/>
      <c r="K52" s="4" t="s">
        <v>15</v>
      </c>
    </row>
    <row r="53" spans="1:11" ht="15" thickBot="1" x14ac:dyDescent="0.35">
      <c r="A53" s="2">
        <v>50</v>
      </c>
      <c r="B53" s="4" t="s">
        <v>10</v>
      </c>
      <c r="C53" s="4">
        <v>0.31</v>
      </c>
      <c r="D53" s="4"/>
      <c r="E53" s="4"/>
      <c r="F53" s="11"/>
      <c r="G53" s="4"/>
      <c r="H53" s="4"/>
      <c r="I53" s="4"/>
      <c r="J53" s="5"/>
      <c r="K53" s="4"/>
    </row>
    <row r="54" spans="1:11" ht="15" thickBot="1" x14ac:dyDescent="0.35">
      <c r="A54" s="2">
        <v>51</v>
      </c>
      <c r="B54" s="4" t="s">
        <v>11</v>
      </c>
      <c r="C54" s="4"/>
      <c r="D54" s="4"/>
      <c r="E54" s="4">
        <v>3</v>
      </c>
      <c r="F54" s="4"/>
      <c r="G54" s="4"/>
      <c r="H54" s="4"/>
      <c r="I54" s="5"/>
      <c r="J54" s="4"/>
      <c r="K54" s="4"/>
    </row>
    <row r="55" spans="1:11" ht="15" thickBot="1" x14ac:dyDescent="0.35">
      <c r="A55" s="2">
        <v>52</v>
      </c>
      <c r="B55" s="4" t="s">
        <v>46</v>
      </c>
      <c r="C55" s="4"/>
      <c r="D55" s="4">
        <v>2</v>
      </c>
      <c r="E55" s="4"/>
      <c r="F55" s="4"/>
      <c r="G55" s="5"/>
      <c r="H55" s="4"/>
      <c r="I55" s="4"/>
      <c r="J55" s="4"/>
      <c r="K55" s="4"/>
    </row>
    <row r="56" spans="1:11" ht="15" thickBot="1" x14ac:dyDescent="0.35">
      <c r="A56" s="2">
        <v>53</v>
      </c>
      <c r="B56" s="4" t="s">
        <v>13</v>
      </c>
      <c r="C56" s="4"/>
      <c r="D56" s="4"/>
      <c r="E56" s="4">
        <v>5</v>
      </c>
      <c r="F56" s="5"/>
      <c r="G56" s="4"/>
      <c r="H56" s="4"/>
      <c r="I56" s="5"/>
      <c r="J56" s="4"/>
      <c r="K56" s="4"/>
    </row>
    <row r="57" spans="1:11" ht="15" thickBot="1" x14ac:dyDescent="0.35">
      <c r="A57" s="2">
        <v>54</v>
      </c>
      <c r="B57" s="4" t="s">
        <v>47</v>
      </c>
      <c r="C57" s="4"/>
      <c r="D57" s="4">
        <v>6</v>
      </c>
      <c r="E57" s="4"/>
      <c r="F57" s="4"/>
      <c r="G57" s="5"/>
      <c r="H57" s="4"/>
      <c r="I57" s="4"/>
      <c r="J57" s="4"/>
      <c r="K57" s="4" t="s">
        <v>15</v>
      </c>
    </row>
    <row r="58" spans="1:11" ht="15" thickBot="1" x14ac:dyDescent="0.35">
      <c r="A58" s="2">
        <v>55</v>
      </c>
      <c r="B58" s="4" t="s">
        <v>48</v>
      </c>
      <c r="C58" s="4"/>
      <c r="D58" s="4"/>
      <c r="E58" s="4">
        <v>8</v>
      </c>
      <c r="F58" s="5"/>
      <c r="G58" s="4"/>
      <c r="H58" s="4"/>
      <c r="I58" s="4"/>
      <c r="J58" s="4"/>
      <c r="K58" s="4"/>
    </row>
    <row r="59" spans="1:11" ht="15" thickBot="1" x14ac:dyDescent="0.35">
      <c r="A59" s="2">
        <v>56</v>
      </c>
      <c r="B59" s="4" t="s">
        <v>49</v>
      </c>
      <c r="C59" s="4"/>
      <c r="D59" s="4">
        <v>3</v>
      </c>
      <c r="E59" s="4"/>
      <c r="F59" s="4"/>
      <c r="G59" s="5"/>
      <c r="H59" s="4"/>
      <c r="I59" s="4"/>
      <c r="J59" s="4"/>
      <c r="K59" s="4"/>
    </row>
    <row r="60" spans="1:11" ht="15" thickBot="1" x14ac:dyDescent="0.35">
      <c r="A60" s="2">
        <v>57</v>
      </c>
      <c r="B60" s="4" t="s">
        <v>29</v>
      </c>
      <c r="C60" s="4"/>
      <c r="D60" s="4"/>
      <c r="E60" s="4">
        <v>5</v>
      </c>
      <c r="F60" s="5"/>
      <c r="G60" s="4"/>
      <c r="H60" s="4"/>
      <c r="I60" s="4"/>
      <c r="J60" s="4"/>
      <c r="K60" s="4"/>
    </row>
    <row r="61" spans="1:11" ht="15" thickBot="1" x14ac:dyDescent="0.35">
      <c r="A61" s="2">
        <v>58</v>
      </c>
      <c r="B61" s="4" t="s">
        <v>11</v>
      </c>
      <c r="C61" s="4"/>
      <c r="D61" s="4"/>
      <c r="E61" s="4">
        <v>3</v>
      </c>
      <c r="F61" s="4"/>
      <c r="G61" s="4"/>
      <c r="H61" s="4"/>
      <c r="I61" s="4"/>
      <c r="J61" s="4"/>
      <c r="K61" s="4"/>
    </row>
    <row r="62" spans="1:11" ht="15" thickBot="1" x14ac:dyDescent="0.35">
      <c r="A62" s="2">
        <v>59</v>
      </c>
      <c r="B62" s="4" t="s">
        <v>22</v>
      </c>
      <c r="C62" s="4"/>
      <c r="D62" s="4">
        <v>10</v>
      </c>
      <c r="E62" s="4"/>
      <c r="F62" s="4"/>
      <c r="G62" s="5"/>
      <c r="H62" s="4"/>
      <c r="I62" s="4"/>
      <c r="J62" s="4"/>
      <c r="K62" s="4" t="s">
        <v>15</v>
      </c>
    </row>
    <row r="63" spans="1:11" ht="15" thickBot="1" x14ac:dyDescent="0.35">
      <c r="A63" s="2">
        <v>60</v>
      </c>
      <c r="B63" s="4" t="s">
        <v>50</v>
      </c>
      <c r="C63" s="4"/>
      <c r="D63" s="4"/>
      <c r="E63" s="4">
        <v>30</v>
      </c>
      <c r="F63" s="5"/>
      <c r="G63" s="4"/>
      <c r="H63" s="4"/>
      <c r="I63" s="5"/>
      <c r="J63" s="4"/>
      <c r="K63" s="4"/>
    </row>
    <row r="64" spans="1:11" ht="15" thickBot="1" x14ac:dyDescent="0.35">
      <c r="A64" s="2">
        <v>61</v>
      </c>
      <c r="B64" s="4" t="s">
        <v>11</v>
      </c>
      <c r="C64" s="4"/>
      <c r="D64" s="4"/>
      <c r="E64" s="4">
        <v>5</v>
      </c>
      <c r="F64" s="5"/>
      <c r="G64" s="5"/>
      <c r="H64" s="4"/>
      <c r="I64" s="5"/>
      <c r="J64" s="4"/>
      <c r="K64" s="4"/>
    </row>
    <row r="65" spans="1:11" ht="15" thickBot="1" x14ac:dyDescent="0.35">
      <c r="A65" s="2">
        <v>62</v>
      </c>
      <c r="B65" s="4" t="s">
        <v>51</v>
      </c>
      <c r="C65" s="4"/>
      <c r="D65" s="4">
        <v>7</v>
      </c>
      <c r="E65" s="4"/>
      <c r="F65" s="4"/>
      <c r="G65" s="5"/>
      <c r="H65" s="4"/>
      <c r="I65" s="4"/>
      <c r="J65" s="4"/>
      <c r="K65" s="4" t="s">
        <v>15</v>
      </c>
    </row>
    <row r="66" spans="1:11" ht="15" thickBot="1" x14ac:dyDescent="0.35">
      <c r="A66" s="2"/>
      <c r="B66" s="4" t="s">
        <v>52</v>
      </c>
      <c r="C66" s="4"/>
      <c r="D66" s="4">
        <f>SUM(D4:D65)</f>
        <v>144</v>
      </c>
      <c r="E66" s="4">
        <f>SUM(E4:E65)</f>
        <v>3186</v>
      </c>
      <c r="F66" s="6" cm="1">
        <f t="array" aca="1" ref="F66" ca="1">ContarCeldasConCirculos(F4:F65)</f>
        <v>19</v>
      </c>
      <c r="G66" s="6" cm="1">
        <f t="array" aca="1" ref="G66" ca="1">ContarCeldasConCirculos(G4:G65)</f>
        <v>25</v>
      </c>
      <c r="H66" s="6" cm="1">
        <f t="array" aca="1" ref="H66" ca="1">ContarCeldasConCirculos(H4:H65)</f>
        <v>2</v>
      </c>
      <c r="I66" s="6" cm="1">
        <f t="array" aca="1" ref="I66" ca="1">ContarCeldasConCirculos(I4:I65)</f>
        <v>11</v>
      </c>
      <c r="J66" s="6" cm="1">
        <f t="array" aca="1" ref="J66" ca="1">ContarCeldasConCirculos(J4:J65)</f>
        <v>5</v>
      </c>
      <c r="K66" s="3"/>
    </row>
  </sheetData>
  <mergeCells count="2">
    <mergeCell ref="B1:K1"/>
    <mergeCell ref="F2:J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Cónico</vt:lpstr>
      <vt:lpstr>Helicoidal</vt:lpstr>
      <vt:lpstr>Sinfin Corona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 Cruz</dc:creator>
  <cp:lastModifiedBy>Samuel Cruz</cp:lastModifiedBy>
  <dcterms:created xsi:type="dcterms:W3CDTF">2025-10-10T21:14:04Z</dcterms:created>
  <dcterms:modified xsi:type="dcterms:W3CDTF">2025-10-13T03:15:20Z</dcterms:modified>
</cp:coreProperties>
</file>