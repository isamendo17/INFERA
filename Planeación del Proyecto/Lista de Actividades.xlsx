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versidad\Trabajos_Mecatronica\9_Semestre\APM\INFERA\"/>
    </mc:Choice>
  </mc:AlternateContent>
  <xr:revisionPtr revIDLastSave="0" documentId="13_ncr:1_{4610C94D-8282-4CDE-A3D0-79E5AFF449EE}" xr6:coauthVersionLast="47" xr6:coauthVersionMax="47" xr10:uidLastSave="{00000000-0000-0000-0000-000000000000}"/>
  <bookViews>
    <workbookView xWindow="-108" yWindow="-108" windowWidth="23256" windowHeight="12456" xr2:uid="{68A09A6E-408B-4919-81D0-76BFA5A13445}"/>
  </bookViews>
  <sheets>
    <sheet name="Lista de Actividades" sheetId="1" r:id="rId1"/>
    <sheet name="Diagrama Gantt" sheetId="2" r:id="rId2"/>
    <sheet name="Resumen Tiemp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</calcChain>
</file>

<file path=xl/sharedStrings.xml><?xml version="1.0" encoding="utf-8"?>
<sst xmlns="http://schemas.openxmlformats.org/spreadsheetml/2006/main" count="80" uniqueCount="46">
  <si>
    <t>Descripción</t>
  </si>
  <si>
    <t>Tiempo Estimado (días)</t>
  </si>
  <si>
    <t>Capacitación del personal</t>
  </si>
  <si>
    <t>Desplazamiento CNC Piñón Cónico</t>
  </si>
  <si>
    <t>Desplazamiento Rectificadora Ejes</t>
  </si>
  <si>
    <t>Desplazamiento Torno Cilindro 1</t>
  </si>
  <si>
    <t>Desplazamiento Torno Cilindro 2</t>
  </si>
  <si>
    <t>Desplazamiento Talladoras</t>
  </si>
  <si>
    <t>Desplazamiento Fresadoras</t>
  </si>
  <si>
    <t>Desplazamiento Almacenes</t>
  </si>
  <si>
    <t>Instalación Bandas Transportadoras</t>
  </si>
  <si>
    <t>Instalación Máquina Cortadora</t>
  </si>
  <si>
    <t>Instalación de PLC y Gabinete de Control</t>
  </si>
  <si>
    <t>Instalación Elementos de Seguridad</t>
  </si>
  <si>
    <t>Instalación del Robot</t>
  </si>
  <si>
    <t>Realización de pruebas de funcionamiento</t>
  </si>
  <si>
    <t>Integración del sistema MES en cada estación</t>
  </si>
  <si>
    <t>Instalaciones Eléctricas para CNC</t>
  </si>
  <si>
    <t>Instalaciones Eléctricas para Rectificadora Ejes</t>
  </si>
  <si>
    <t>Instalación Eléctrica para Estación de Corte</t>
  </si>
  <si>
    <t>Desplazamiento Talladora Cónica</t>
  </si>
  <si>
    <t>Instalaciones Eléctricas para Talladora Cónica</t>
  </si>
  <si>
    <t>Instalaciones Eléctricas para Torno Cilindro 1</t>
  </si>
  <si>
    <t>Instalaciones Eléctricas para Torno Cilindro 2</t>
  </si>
  <si>
    <t>Elaboración Lista de Adquisiciones</t>
  </si>
  <si>
    <t>Recepción de los Elementos Requeridos</t>
  </si>
  <si>
    <t>Desplazamiento Tornos Manuales</t>
  </si>
  <si>
    <t>Instalaciones Eléctricas para Tornos Manuales</t>
  </si>
  <si>
    <t>Instalaciones Eléctricas para Talladoras</t>
  </si>
  <si>
    <t>Instalaciones Eléctricas para Fresadoras</t>
  </si>
  <si>
    <t>Estudio Detallado de Movimientos y Conexiones</t>
  </si>
  <si>
    <t>Programación de Secuencia Cortadora</t>
  </si>
  <si>
    <t>Programación de Interlocks</t>
  </si>
  <si>
    <t>Programación de Trayectorias para el Robot</t>
  </si>
  <si>
    <t>Programación de Control para Movimientos del Robot</t>
  </si>
  <si>
    <t>Programación de SCADA para Cortadora</t>
  </si>
  <si>
    <t>Actividad Propuesta</t>
  </si>
  <si>
    <t>Semanas</t>
  </si>
  <si>
    <t>Estudio Técnico y Compras</t>
  </si>
  <si>
    <t xml:space="preserve">Categoría </t>
  </si>
  <si>
    <t>Duración (Días)</t>
  </si>
  <si>
    <t>Reorganización Fábrica</t>
  </si>
  <si>
    <t>Instalación Celda Robotizada</t>
  </si>
  <si>
    <t>Programación Celda Robotizada</t>
  </si>
  <si>
    <t>Integración MES y Capacitación</t>
  </si>
  <si>
    <t>Total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</si>
</sst>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68580</xdr:colOff>
      <xdr:row>3</xdr:row>
      <xdr:rowOff>38100</xdr:rowOff>
    </xdr:from>
    <xdr:to>
      <xdr:col>15</xdr:col>
      <xdr:colOff>655320</xdr:colOff>
      <xdr:row>20</xdr:row>
      <xdr:rowOff>175260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CFAF69-86D6-0DBE-90BA-FFA517B0D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6960" y="220980"/>
          <a:ext cx="5341620" cy="3246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358140</xdr:colOff>
      <xdr:row>3</xdr:row>
      <xdr:rowOff>45720</xdr:rowOff>
    </xdr:from>
    <xdr:to>
      <xdr:col>9</xdr:col>
      <xdr:colOff>15240</xdr:colOff>
      <xdr:row>21</xdr:row>
      <xdr:rowOff>60960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7A2ABA5-2884-8E92-7F46-357497BED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9160" y="228600"/>
          <a:ext cx="5204460" cy="3307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21AD-12E4-4950-B5B7-7D209C5E0CEB}">
  <dimension ref="A1:B36"/>
  <sheetViews>
    <sheetView tabSelected="1" topLeftCell="A13" workbookViewId="0">
      <selection activeCell="B22" sqref="B22"/>
    </sheetView>
  </sheetViews>
  <sheetFormatPr baseColWidth="10" defaultRowHeight="14.4" x14ac:dyDescent="0.3"/>
  <cols>
    <col min="1" max="1" width="43.21875" bestFit="1" customWidth="1"/>
    <col min="2" max="2" width="1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30</v>
      </c>
      <c r="B2" s="1">
        <v>20</v>
      </c>
    </row>
    <row r="3" spans="1:2" x14ac:dyDescent="0.3">
      <c r="A3" s="1" t="s">
        <v>24</v>
      </c>
      <c r="B3" s="1">
        <v>3</v>
      </c>
    </row>
    <row r="4" spans="1:2" x14ac:dyDescent="0.3">
      <c r="A4" s="1" t="s">
        <v>25</v>
      </c>
      <c r="B4" s="1">
        <v>20</v>
      </c>
    </row>
    <row r="5" spans="1:2" x14ac:dyDescent="0.3">
      <c r="A5" s="1" t="s">
        <v>3</v>
      </c>
      <c r="B5" s="1">
        <v>5</v>
      </c>
    </row>
    <row r="6" spans="1:2" x14ac:dyDescent="0.3">
      <c r="A6" s="1" t="s">
        <v>17</v>
      </c>
      <c r="B6" s="1">
        <v>5</v>
      </c>
    </row>
    <row r="7" spans="1:2" x14ac:dyDescent="0.3">
      <c r="A7" s="1" t="s">
        <v>4</v>
      </c>
      <c r="B7" s="1">
        <v>4</v>
      </c>
    </row>
    <row r="8" spans="1:2" x14ac:dyDescent="0.3">
      <c r="A8" s="1" t="s">
        <v>18</v>
      </c>
      <c r="B8" s="1">
        <v>5</v>
      </c>
    </row>
    <row r="9" spans="1:2" x14ac:dyDescent="0.3">
      <c r="A9" s="1" t="s">
        <v>20</v>
      </c>
      <c r="B9" s="1">
        <v>3</v>
      </c>
    </row>
    <row r="10" spans="1:2" x14ac:dyDescent="0.3">
      <c r="A10" s="1" t="s">
        <v>21</v>
      </c>
      <c r="B10" s="1">
        <v>5</v>
      </c>
    </row>
    <row r="11" spans="1:2" x14ac:dyDescent="0.3">
      <c r="A11" s="1" t="s">
        <v>5</v>
      </c>
      <c r="B11" s="1">
        <v>6</v>
      </c>
    </row>
    <row r="12" spans="1:2" x14ac:dyDescent="0.3">
      <c r="A12" s="1" t="s">
        <v>22</v>
      </c>
      <c r="B12" s="1">
        <v>5</v>
      </c>
    </row>
    <row r="13" spans="1:2" x14ac:dyDescent="0.3">
      <c r="A13" s="1" t="s">
        <v>6</v>
      </c>
      <c r="B13" s="1">
        <v>6</v>
      </c>
    </row>
    <row r="14" spans="1:2" x14ac:dyDescent="0.3">
      <c r="A14" s="1" t="s">
        <v>23</v>
      </c>
      <c r="B14" s="1">
        <v>5</v>
      </c>
    </row>
    <row r="15" spans="1:2" x14ac:dyDescent="0.3">
      <c r="A15" s="1" t="s">
        <v>26</v>
      </c>
      <c r="B15" s="1">
        <v>8</v>
      </c>
    </row>
    <row r="16" spans="1:2" x14ac:dyDescent="0.3">
      <c r="A16" s="1" t="s">
        <v>27</v>
      </c>
      <c r="B16" s="1">
        <v>5</v>
      </c>
    </row>
    <row r="17" spans="1:2" x14ac:dyDescent="0.3">
      <c r="A17" s="1" t="s">
        <v>7</v>
      </c>
      <c r="B17" s="1">
        <v>8</v>
      </c>
    </row>
    <row r="18" spans="1:2" x14ac:dyDescent="0.3">
      <c r="A18" s="1" t="s">
        <v>28</v>
      </c>
      <c r="B18" s="1">
        <v>6</v>
      </c>
    </row>
    <row r="19" spans="1:2" x14ac:dyDescent="0.3">
      <c r="A19" s="1" t="s">
        <v>8</v>
      </c>
      <c r="B19" s="1">
        <v>8</v>
      </c>
    </row>
    <row r="20" spans="1:2" x14ac:dyDescent="0.3">
      <c r="A20" s="1" t="s">
        <v>29</v>
      </c>
      <c r="B20" s="1">
        <v>5</v>
      </c>
    </row>
    <row r="21" spans="1:2" x14ac:dyDescent="0.3">
      <c r="A21" s="1" t="s">
        <v>9</v>
      </c>
      <c r="B21" s="1">
        <v>2</v>
      </c>
    </row>
    <row r="22" spans="1:2" x14ac:dyDescent="0.3">
      <c r="A22" s="1" t="s">
        <v>19</v>
      </c>
      <c r="B22" s="1">
        <v>5</v>
      </c>
    </row>
    <row r="23" spans="1:2" x14ac:dyDescent="0.3">
      <c r="A23" s="1" t="s">
        <v>10</v>
      </c>
      <c r="B23" s="1">
        <v>4</v>
      </c>
    </row>
    <row r="24" spans="1:2" x14ac:dyDescent="0.3">
      <c r="A24" s="1" t="s">
        <v>11</v>
      </c>
      <c r="B24" s="1">
        <v>5</v>
      </c>
    </row>
    <row r="25" spans="1:2" x14ac:dyDescent="0.3">
      <c r="A25" s="4" t="s">
        <v>12</v>
      </c>
      <c r="B25" s="1">
        <v>4</v>
      </c>
    </row>
    <row r="26" spans="1:2" x14ac:dyDescent="0.3">
      <c r="A26" s="1" t="s">
        <v>14</v>
      </c>
      <c r="B26" s="1">
        <v>3</v>
      </c>
    </row>
    <row r="27" spans="1:2" x14ac:dyDescent="0.3">
      <c r="A27" s="1" t="s">
        <v>13</v>
      </c>
      <c r="B27" s="1">
        <v>2</v>
      </c>
    </row>
    <row r="28" spans="1:2" x14ac:dyDescent="0.3">
      <c r="A28" s="1" t="s">
        <v>31</v>
      </c>
      <c r="B28" s="1">
        <v>3</v>
      </c>
    </row>
    <row r="29" spans="1:2" x14ac:dyDescent="0.3">
      <c r="A29" s="1" t="s">
        <v>32</v>
      </c>
      <c r="B29" s="1">
        <v>2</v>
      </c>
    </row>
    <row r="30" spans="1:2" x14ac:dyDescent="0.3">
      <c r="A30" s="1" t="s">
        <v>33</v>
      </c>
      <c r="B30" s="1">
        <v>4</v>
      </c>
    </row>
    <row r="31" spans="1:2" x14ac:dyDescent="0.3">
      <c r="A31" s="1" t="s">
        <v>34</v>
      </c>
      <c r="B31" s="1">
        <v>5</v>
      </c>
    </row>
    <row r="32" spans="1:2" x14ac:dyDescent="0.3">
      <c r="A32" s="1" t="s">
        <v>35</v>
      </c>
      <c r="B32" s="1">
        <v>2</v>
      </c>
    </row>
    <row r="33" spans="1:2" x14ac:dyDescent="0.3">
      <c r="A33" s="1" t="s">
        <v>15</v>
      </c>
      <c r="B33" s="1">
        <v>2</v>
      </c>
    </row>
    <row r="34" spans="1:2" x14ac:dyDescent="0.3">
      <c r="A34" s="1" t="s">
        <v>16</v>
      </c>
      <c r="B34" s="1">
        <v>2</v>
      </c>
    </row>
    <row r="35" spans="1:2" x14ac:dyDescent="0.3">
      <c r="A35" s="1" t="s">
        <v>2</v>
      </c>
      <c r="B35" s="1">
        <v>5</v>
      </c>
    </row>
    <row r="36" spans="1:2" x14ac:dyDescent="0.3">
      <c r="A3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841B-46C3-4817-9D0A-BBE900E48555}">
  <dimension ref="A1:AE36"/>
  <sheetViews>
    <sheetView zoomScale="50" zoomScaleNormal="50" workbookViewId="0">
      <selection activeCell="AC34" sqref="AC34"/>
    </sheetView>
  </sheetViews>
  <sheetFormatPr baseColWidth="10" defaultRowHeight="14.4" x14ac:dyDescent="0.3"/>
  <cols>
    <col min="1" max="1" width="53.44140625" style="6" bestFit="1" customWidth="1"/>
  </cols>
  <sheetData>
    <row r="1" spans="1:31" x14ac:dyDescent="0.3">
      <c r="A1" s="9" t="s">
        <v>36</v>
      </c>
      <c r="B1" s="10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2"/>
    </row>
    <row r="2" spans="1:31" x14ac:dyDescent="0.3">
      <c r="A2" s="9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3">
      <c r="A3" s="5" t="s">
        <v>30</v>
      </c>
      <c r="B3" s="7"/>
      <c r="C3" s="7"/>
      <c r="D3" s="7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3">
      <c r="A4" s="5" t="s">
        <v>24</v>
      </c>
      <c r="B4" s="2"/>
      <c r="C4" s="2"/>
      <c r="D4" s="2"/>
      <c r="E4" s="2"/>
      <c r="F4" s="7"/>
      <c r="G4" s="2"/>
      <c r="H4" s="2"/>
      <c r="I4" s="2"/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3">
      <c r="A5" s="5" t="s">
        <v>25</v>
      </c>
      <c r="B5" s="2"/>
      <c r="C5" s="2"/>
      <c r="D5" s="2"/>
      <c r="E5" s="2"/>
      <c r="F5" s="7"/>
      <c r="G5" s="7"/>
      <c r="H5" s="7"/>
      <c r="I5" s="7"/>
      <c r="J5" s="2"/>
      <c r="K5" s="2"/>
      <c r="L5" s="2"/>
      <c r="M5" s="2"/>
      <c r="N5" s="2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3">
      <c r="A6" s="5" t="s">
        <v>3</v>
      </c>
      <c r="B6" s="2"/>
      <c r="C6" s="2"/>
      <c r="D6" s="2"/>
      <c r="E6" s="2"/>
      <c r="F6" s="7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3">
      <c r="A7" s="5" t="s">
        <v>17</v>
      </c>
      <c r="B7" s="2"/>
      <c r="C7" s="2"/>
      <c r="D7" s="2"/>
      <c r="E7" s="2"/>
      <c r="F7" s="2"/>
      <c r="G7" s="7"/>
      <c r="H7" s="2"/>
      <c r="I7" s="2"/>
      <c r="J7" s="2"/>
      <c r="K7" s="2"/>
      <c r="L7" s="2"/>
      <c r="M7" s="2"/>
      <c r="N7" s="2"/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3">
      <c r="A8" s="5" t="s">
        <v>4</v>
      </c>
      <c r="B8" s="2"/>
      <c r="C8" s="2"/>
      <c r="D8" s="2"/>
      <c r="E8" s="2"/>
      <c r="F8" s="2"/>
      <c r="G8" s="7"/>
      <c r="H8" s="2"/>
      <c r="I8" s="2"/>
      <c r="J8" s="2"/>
      <c r="K8" s="2"/>
      <c r="L8" s="2"/>
      <c r="M8" s="2"/>
      <c r="N8" s="2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3">
      <c r="A9" s="5" t="s">
        <v>18</v>
      </c>
      <c r="B9" s="2"/>
      <c r="C9" s="2"/>
      <c r="D9" s="2"/>
      <c r="E9" s="2"/>
      <c r="F9" s="2"/>
      <c r="G9" s="2"/>
      <c r="H9" s="7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3">
      <c r="A10" s="5" t="s">
        <v>20</v>
      </c>
      <c r="B10" s="2"/>
      <c r="C10" s="2"/>
      <c r="D10" s="2"/>
      <c r="E10" s="2"/>
      <c r="F10" s="2"/>
      <c r="G10" s="2"/>
      <c r="H10" s="7"/>
      <c r="I10" s="7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3">
      <c r="A11" s="5" t="s">
        <v>21</v>
      </c>
      <c r="B11" s="2"/>
      <c r="C11" s="2"/>
      <c r="D11" s="2"/>
      <c r="E11" s="2"/>
      <c r="F11" s="2"/>
      <c r="G11" s="2"/>
      <c r="H11" s="2"/>
      <c r="I11" s="7"/>
      <c r="J11" s="7"/>
      <c r="K11" s="2"/>
      <c r="L11" s="2"/>
      <c r="M11" s="2"/>
      <c r="N11" s="2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3">
      <c r="A12" s="5" t="s">
        <v>5</v>
      </c>
      <c r="B12" s="2"/>
      <c r="C12" s="2"/>
      <c r="D12" s="2"/>
      <c r="E12" s="2"/>
      <c r="F12" s="2"/>
      <c r="G12" s="2"/>
      <c r="H12" s="2"/>
      <c r="I12" s="7"/>
      <c r="J12" s="7"/>
      <c r="K12" s="2"/>
      <c r="L12" s="2"/>
      <c r="M12" s="2"/>
      <c r="N12" s="2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3">
      <c r="A13" s="5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7"/>
      <c r="L13" s="2"/>
      <c r="M13" s="2"/>
      <c r="N13" s="2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3">
      <c r="A14" s="5" t="s">
        <v>6</v>
      </c>
      <c r="B14" s="2"/>
      <c r="C14" s="2"/>
      <c r="D14" s="2"/>
      <c r="E14" s="2"/>
      <c r="F14" s="2"/>
      <c r="G14" s="2"/>
      <c r="H14" s="2"/>
      <c r="I14" s="2"/>
      <c r="J14" s="2"/>
      <c r="K14" s="7"/>
      <c r="L14" s="7"/>
      <c r="M14" s="7"/>
      <c r="N14" s="2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3">
      <c r="A15" s="5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7"/>
      <c r="N15" s="2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3">
      <c r="A16" s="5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7"/>
      <c r="N16" s="7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3">
      <c r="A17" s="5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7"/>
      <c r="O17" s="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3">
      <c r="A18" s="5" t="s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7"/>
      <c r="P18" s="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3">
      <c r="A19" s="5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8"/>
      <c r="Q19" s="8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3">
      <c r="A20" s="5" t="s">
        <v>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  <c r="Q20" s="8"/>
      <c r="R20" s="8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3">
      <c r="A21" s="5" t="s">
        <v>29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"/>
      <c r="Q21" s="1"/>
      <c r="R21" s="1"/>
      <c r="S21" s="8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3">
      <c r="A22" s="5" t="s">
        <v>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"/>
      <c r="Q22" s="1"/>
      <c r="R22" s="1"/>
      <c r="S22" s="8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3">
      <c r="A23" s="5" t="s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  <c r="Q23" s="1"/>
      <c r="R23" s="1"/>
      <c r="S23" s="1"/>
      <c r="T23" s="8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3">
      <c r="A24" s="5" t="s">
        <v>10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8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3">
      <c r="A25" s="5" t="s">
        <v>11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8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3">
      <c r="A26" s="5" t="s">
        <v>12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"/>
      <c r="Q26" s="1"/>
      <c r="R26" s="1"/>
      <c r="S26" s="1"/>
      <c r="T26" s="1"/>
      <c r="U26" s="1"/>
      <c r="V26" s="8"/>
      <c r="W26" s="8"/>
      <c r="X26" s="1"/>
      <c r="Y26" s="1"/>
      <c r="Z26" s="1"/>
      <c r="AA26" s="1"/>
      <c r="AB26" s="1"/>
      <c r="AC26" s="1"/>
      <c r="AD26" s="1"/>
      <c r="AE26" s="1"/>
    </row>
    <row r="27" spans="1:31" x14ac:dyDescent="0.3">
      <c r="A27" s="5" t="s">
        <v>14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"/>
      <c r="Q27" s="1"/>
      <c r="R27" s="1"/>
      <c r="S27" s="1"/>
      <c r="T27" s="1"/>
      <c r="U27" s="1"/>
      <c r="V27" s="1"/>
      <c r="W27" s="1"/>
      <c r="X27" s="8"/>
      <c r="Y27" s="1"/>
      <c r="Z27" s="1"/>
      <c r="AA27" s="1"/>
      <c r="AB27" s="1"/>
      <c r="AC27" s="1"/>
      <c r="AD27" s="1"/>
      <c r="AE27" s="1"/>
    </row>
    <row r="28" spans="1:31" x14ac:dyDescent="0.3">
      <c r="A28" s="5" t="s">
        <v>13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"/>
      <c r="Q28" s="1"/>
      <c r="R28" s="1"/>
      <c r="S28" s="1"/>
      <c r="T28" s="1"/>
      <c r="U28" s="1"/>
      <c r="V28" s="1"/>
      <c r="W28" s="1"/>
      <c r="X28" s="1"/>
      <c r="Y28" s="8"/>
      <c r="Z28" s="1"/>
      <c r="AA28" s="1"/>
      <c r="AB28" s="1"/>
      <c r="AC28" s="1"/>
      <c r="AD28" s="1"/>
      <c r="AE28" s="1"/>
    </row>
    <row r="29" spans="1:31" x14ac:dyDescent="0.3">
      <c r="A29" s="5" t="s">
        <v>31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/>
      <c r="Q29" s="1"/>
      <c r="R29" s="1"/>
      <c r="S29" s="1"/>
      <c r="T29" s="1"/>
      <c r="U29" s="1"/>
      <c r="V29" s="1"/>
      <c r="W29" s="1"/>
      <c r="X29" s="1"/>
      <c r="Y29" s="8"/>
      <c r="Z29" s="1"/>
      <c r="AA29" s="1"/>
      <c r="AB29" s="1"/>
      <c r="AC29" s="1"/>
      <c r="AD29" s="1"/>
      <c r="AE29" s="1"/>
    </row>
    <row r="30" spans="1:31" x14ac:dyDescent="0.3">
      <c r="A30" s="5" t="s">
        <v>32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"/>
      <c r="Q30" s="1"/>
      <c r="R30" s="1"/>
      <c r="S30" s="1"/>
      <c r="T30" s="1"/>
      <c r="U30" s="1"/>
      <c r="V30" s="1"/>
      <c r="W30" s="1"/>
      <c r="X30" s="1"/>
      <c r="Y30" s="1"/>
      <c r="Z30" s="8"/>
      <c r="AA30" s="1"/>
      <c r="AB30" s="1"/>
      <c r="AC30" s="1"/>
      <c r="AD30" s="1"/>
      <c r="AE30" s="1"/>
    </row>
    <row r="31" spans="1:31" x14ac:dyDescent="0.3">
      <c r="A31" s="5" t="s">
        <v>33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"/>
      <c r="Q31" s="1"/>
      <c r="R31" s="1"/>
      <c r="S31" s="1"/>
      <c r="T31" s="1"/>
      <c r="U31" s="1"/>
      <c r="V31" s="1"/>
      <c r="W31" s="1"/>
      <c r="X31" s="1"/>
      <c r="Y31" s="1"/>
      <c r="Z31" s="8"/>
      <c r="AA31" s="8"/>
      <c r="AB31" s="1"/>
      <c r="AC31" s="1"/>
      <c r="AD31" s="1"/>
      <c r="AE31" s="1"/>
    </row>
    <row r="32" spans="1:31" x14ac:dyDescent="0.3">
      <c r="A32" s="5" t="s">
        <v>34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8"/>
      <c r="AB32" s="8"/>
      <c r="AC32" s="1"/>
      <c r="AD32" s="1"/>
      <c r="AE32" s="1"/>
    </row>
    <row r="33" spans="1:31" x14ac:dyDescent="0.3">
      <c r="A33" s="5" t="s">
        <v>35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8"/>
      <c r="AD33" s="1"/>
      <c r="AE33" s="1"/>
    </row>
    <row r="34" spans="1:31" x14ac:dyDescent="0.3">
      <c r="A34" s="5" t="s">
        <v>15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8"/>
      <c r="AD34" s="1"/>
      <c r="AE34" s="1"/>
    </row>
    <row r="35" spans="1:31" x14ac:dyDescent="0.3">
      <c r="A35" s="5" t="s">
        <v>16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8"/>
      <c r="AE35" s="1"/>
    </row>
    <row r="36" spans="1:31" x14ac:dyDescent="0.3">
      <c r="A36" s="5" t="s">
        <v>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8"/>
    </row>
  </sheetData>
  <mergeCells count="2">
    <mergeCell ref="A1:A2"/>
    <mergeCell ref="B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1744-F31B-4C7A-AB33-795EC881F041}">
  <dimension ref="A1:B7"/>
  <sheetViews>
    <sheetView workbookViewId="0">
      <selection activeCell="A2" sqref="A2"/>
    </sheetView>
  </sheetViews>
  <sheetFormatPr baseColWidth="10" defaultRowHeight="14.4" x14ac:dyDescent="0.3"/>
  <cols>
    <col min="1" max="1" width="26.88671875" bestFit="1" customWidth="1"/>
    <col min="2" max="2" width="13.33203125" bestFit="1" customWidth="1"/>
  </cols>
  <sheetData>
    <row r="1" spans="1:2" x14ac:dyDescent="0.3">
      <c r="A1" s="1" t="s">
        <v>39</v>
      </c>
      <c r="B1" s="1" t="s">
        <v>40</v>
      </c>
    </row>
    <row r="2" spans="1:2" x14ac:dyDescent="0.3">
      <c r="A2" s="1" t="s">
        <v>38</v>
      </c>
      <c r="B2" s="1">
        <f>SUM('Lista de Actividades'!B2:B4)</f>
        <v>43</v>
      </c>
    </row>
    <row r="3" spans="1:2" x14ac:dyDescent="0.3">
      <c r="A3" s="1" t="s">
        <v>41</v>
      </c>
      <c r="B3" s="1">
        <f>SUM('Lista de Actividades'!B5:B21)</f>
        <v>91</v>
      </c>
    </row>
    <row r="4" spans="1:2" x14ac:dyDescent="0.3">
      <c r="A4" s="1" t="s">
        <v>42</v>
      </c>
      <c r="B4" s="1">
        <f>SUM('Lista de Actividades'!B22:B27)</f>
        <v>23</v>
      </c>
    </row>
    <row r="5" spans="1:2" x14ac:dyDescent="0.3">
      <c r="A5" s="1" t="s">
        <v>43</v>
      </c>
      <c r="B5" s="1">
        <f>SUM('Lista de Actividades'!B28:B33)</f>
        <v>18</v>
      </c>
    </row>
    <row r="6" spans="1:2" x14ac:dyDescent="0.3">
      <c r="A6" s="1" t="s">
        <v>44</v>
      </c>
      <c r="B6" s="1">
        <f>SUM('Lista de Actividades'!B34:B35)</f>
        <v>7</v>
      </c>
    </row>
    <row r="7" spans="1:2" x14ac:dyDescent="0.3">
      <c r="A7" s="1" t="s">
        <v>45</v>
      </c>
      <c r="B7" s="1">
        <f>SUM(B3:B5)+'Lista de Actividades'!B2</f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de Actividades</vt:lpstr>
      <vt:lpstr>Diagrama Gantt</vt:lpstr>
      <vt:lpstr>Resumen 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Cruz</dc:creator>
  <cp:lastModifiedBy>Samuel Cruz</cp:lastModifiedBy>
  <dcterms:created xsi:type="dcterms:W3CDTF">2025-11-30T22:15:30Z</dcterms:created>
  <dcterms:modified xsi:type="dcterms:W3CDTF">2025-12-01T01:00:24Z</dcterms:modified>
</cp:coreProperties>
</file>