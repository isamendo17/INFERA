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G:\Universidad\Trabajos_Mecatronica\9_Semestre\APM\INFERA\Análisis financiero\"/>
    </mc:Choice>
  </mc:AlternateContent>
  <xr:revisionPtr revIDLastSave="0" documentId="13_ncr:1_{0F32DD1E-C87B-4EF0-90BA-BE60E9CE67E6}" xr6:coauthVersionLast="47" xr6:coauthVersionMax="47" xr10:uidLastSave="{00000000-0000-0000-0000-000000000000}"/>
  <bookViews>
    <workbookView xWindow="-108" yWindow="-108" windowWidth="23256" windowHeight="12456" activeTab="2" xr2:uid="{00000000-000D-0000-FFFF-FFFF00000000}"/>
  </bookViews>
  <sheets>
    <sheet name="Presupuesto de adquisiciones" sheetId="3" r:id="rId1"/>
    <sheet name="Costos y Beneficios" sheetId="5" r:id="rId2"/>
    <sheet name="Flujo de Caja" sheetId="6"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5" l="1"/>
  <c r="I24" i="3"/>
  <c r="I23" i="3"/>
  <c r="I22" i="3"/>
  <c r="I21" i="3" l="1"/>
  <c r="C9" i="5"/>
  <c r="C8" i="5"/>
  <c r="C7" i="5"/>
  <c r="G9" i="5"/>
  <c r="G8" i="5"/>
  <c r="G7" i="5"/>
  <c r="G6" i="5"/>
  <c r="G10" i="5"/>
  <c r="C6" i="5" l="1"/>
  <c r="G5" i="5"/>
  <c r="E18" i="3" l="1"/>
  <c r="H18" i="3" s="1"/>
  <c r="I18" i="3" s="1"/>
  <c r="E17" i="3"/>
  <c r="H17" i="3" s="1"/>
  <c r="I17" i="3" s="1"/>
  <c r="E16" i="3"/>
  <c r="H16" i="3" s="1"/>
  <c r="I16" i="3" s="1"/>
  <c r="E15" i="3"/>
  <c r="H15" i="3" s="1"/>
  <c r="I15" i="3" s="1"/>
  <c r="E14" i="3"/>
  <c r="H14" i="3" s="1"/>
  <c r="I14" i="3" s="1"/>
  <c r="E13" i="3"/>
  <c r="H13" i="3" s="1"/>
  <c r="I13" i="3" s="1"/>
  <c r="E12" i="3"/>
  <c r="E11" i="3"/>
  <c r="H11" i="3" s="1"/>
  <c r="I11" i="3" s="1"/>
  <c r="H19" i="3"/>
  <c r="I19" i="3" s="1"/>
  <c r="F20" i="3"/>
  <c r="E20" i="3"/>
  <c r="G20" i="3" s="1"/>
  <c r="F10" i="3"/>
  <c r="E10" i="3"/>
  <c r="G10" i="3" s="1"/>
  <c r="F9" i="3"/>
  <c r="E9" i="3"/>
  <c r="F8" i="3"/>
  <c r="E8" i="3"/>
  <c r="G8" i="3" s="1"/>
  <c r="H20" i="3" l="1"/>
  <c r="I20" i="3" s="1"/>
  <c r="H12" i="3"/>
  <c r="I12" i="3" s="1"/>
  <c r="G9" i="3"/>
  <c r="H10" i="3"/>
  <c r="I10" i="3" s="1"/>
  <c r="H8" i="3"/>
  <c r="I8" i="3" s="1"/>
  <c r="C16" i="5"/>
  <c r="C6" i="6" l="1"/>
  <c r="C5" i="6"/>
  <c r="C7" i="6"/>
  <c r="C8" i="6"/>
  <c r="C9" i="6"/>
  <c r="C10" i="6"/>
  <c r="C11" i="6"/>
  <c r="C12" i="6"/>
  <c r="C13" i="6"/>
  <c r="H9" i="3"/>
  <c r="I9" i="3" s="1"/>
  <c r="G11" i="5" s="1"/>
  <c r="D8" i="6" l="1"/>
  <c r="E8" i="6" s="1"/>
  <c r="D9" i="6"/>
  <c r="E9" i="6" s="1"/>
  <c r="D10" i="6"/>
  <c r="E10" i="6" s="1"/>
  <c r="D6" i="6"/>
  <c r="E6" i="6" s="1"/>
  <c r="D12" i="6"/>
  <c r="E12" i="6" s="1"/>
  <c r="D13" i="6"/>
  <c r="E13" i="6" s="1"/>
  <c r="D7" i="6"/>
  <c r="E7" i="6" s="1"/>
  <c r="D11" i="6"/>
  <c r="E11" i="6" s="1"/>
  <c r="D5" i="6"/>
  <c r="E5" i="6" s="1"/>
  <c r="D4" i="6"/>
  <c r="E4" i="6" s="1"/>
  <c r="I5" i="6" l="1"/>
  <c r="I7" i="6" s="1"/>
  <c r="I6" i="6"/>
  <c r="F4" i="6"/>
  <c r="F5" i="6" s="1"/>
  <c r="F6" i="6" s="1"/>
  <c r="F7" i="6" s="1"/>
  <c r="F8" i="6" s="1"/>
  <c r="F9" i="6" s="1"/>
  <c r="F10" i="6" s="1"/>
  <c r="F11" i="6" s="1"/>
  <c r="F12" i="6" s="1"/>
  <c r="F13" i="6" s="1"/>
</calcChain>
</file>

<file path=xl/sharedStrings.xml><?xml version="1.0" encoding="utf-8"?>
<sst xmlns="http://schemas.openxmlformats.org/spreadsheetml/2006/main" count="102" uniqueCount="94">
  <si>
    <t>Año</t>
  </si>
  <si>
    <t>VPN</t>
  </si>
  <si>
    <t>TIR</t>
  </si>
  <si>
    <t>Concepto</t>
  </si>
  <si>
    <t>Descripción breve</t>
  </si>
  <si>
    <t>Robot de 6 ejes para manipulación y ensamblaje.</t>
  </si>
  <si>
    <t>Reorganización de planta</t>
  </si>
  <si>
    <t>Capacitación y puesta en marcha</t>
  </si>
  <si>
    <t>Mantenimiento preventivo robot y sistemas</t>
  </si>
  <si>
    <t>Energía eléctrica adicional (operación automatizada)</t>
  </si>
  <si>
    <t>Reducción de mano de obra (1-2 operarios/turno)</t>
  </si>
  <si>
    <t>Reducción de tiempos de producción y cambios</t>
  </si>
  <si>
    <t>Disminución de desperdicio de material</t>
  </si>
  <si>
    <t>Total</t>
  </si>
  <si>
    <t>Beneficios Anuales Estimados</t>
  </si>
  <si>
    <t>Total Inversión Inicial</t>
  </si>
  <si>
    <t>Flujo de Caja</t>
  </si>
  <si>
    <t>Tasa descuento</t>
  </si>
  <si>
    <t>ROI</t>
  </si>
  <si>
    <t>Payback</t>
  </si>
  <si>
    <t>(años)</t>
  </si>
  <si>
    <t>Ítem</t>
  </si>
  <si>
    <t>Cantidad</t>
  </si>
  <si>
    <t>Costo Unitario (COP)</t>
  </si>
  <si>
    <t>Impuestos</t>
  </si>
  <si>
    <t>Impuestos (COP)</t>
  </si>
  <si>
    <t>Presupuesto de Adquisiciones</t>
  </si>
  <si>
    <t>Costo Total (COP)</t>
  </si>
  <si>
    <t>Referencia</t>
  </si>
  <si>
    <t>Tarifas</t>
  </si>
  <si>
    <t>Aranceles</t>
  </si>
  <si>
    <t>Costo de Flete (COP)</t>
  </si>
  <si>
    <t>Costo del Seguro (COP)</t>
  </si>
  <si>
    <t>Seguro</t>
  </si>
  <si>
    <t>Abb Irb4600 Robot Industrial Brazo De Robot De 6 Ejes Carga Útil De 60kg - Buy Industrial Robot pick And Place 6 Axis Robot Arm Product on Alibaba.com</t>
  </si>
  <si>
    <t>Brazo robótico ABB IRB 2600 + Controlador IRC5</t>
  </si>
  <si>
    <t>Gripper PHL 50-060 SCHUNK</t>
  </si>
  <si>
    <t>Pinza neumática paralela con guía de riel perfilado.</t>
  </si>
  <si>
    <t>Ventas Pinza De Carrera Larga Phl 50-060 Schunk Pinza Neumática Guía De Riel Perfilado Buen Precio Pinza Paralela Pedido Id 1462597 - Buy Long-stroke Gripper phl 50-060 schunk Parallel Gripper schunk Gripper schunk Pneumatic Gripper Product on Alibaba.com</t>
  </si>
  <si>
    <t xml:space="preserve">Banda Transportadora </t>
  </si>
  <si>
    <t>Transportador de banda plana para movimiento de barras de acero</t>
  </si>
  <si>
    <t>Transportador De Cadena Industrial,Transportador De Banda Plana Para Entrega De Alimentos Y Bebidas,Resistente Al Calor,Aplicable En Agricultura Y Minería - Buy Stainless Steel Plate Chain Conveyor stainless Steel Conveyor Belt Chain Plate Conveyor heavy Chain-plate Conveyor Product on Alibaba.com</t>
  </si>
  <si>
    <t>PLC ControlLogix 5580 con gateway IoT</t>
  </si>
  <si>
    <t>PLC Allen-bradley 1756-L82EK</t>
  </si>
  <si>
    <t>Chasis Allen-bradley 1756-A7</t>
  </si>
  <si>
    <t>Fuente Allen-Bradley 1756-PA72</t>
  </si>
  <si>
    <t>Fuente de poder ControlLogix 5580 con rango 85-285 VAC</t>
  </si>
  <si>
    <t>Chasis BacklPlane con 7 ranuras para ControlLogix 5580</t>
  </si>
  <si>
    <t xml:space="preserve">Módulo de 16 entradas analógicas ControlLogix 5580 </t>
  </si>
  <si>
    <t xml:space="preserve">Módulo de 16 entradas digitales ControlLogix 5580 </t>
  </si>
  <si>
    <t xml:space="preserve">Módulo de 16 salidas analógicas ControlLogix 5580 </t>
  </si>
  <si>
    <t>Módulo Allen-Bradley 1756-EN3TR</t>
  </si>
  <si>
    <t>Módulo EtherNet/IP para ControlLogix 5580</t>
  </si>
  <si>
    <t>Módulo Allen-Bradley 1756-OF16</t>
  </si>
  <si>
    <t>Módulo Allen-Bradley 1756-OB16</t>
  </si>
  <si>
    <t>Módulo Allen-Bradley 1756-IF16</t>
  </si>
  <si>
    <t>Módulo Allen-Bradley 1756-IB16</t>
  </si>
  <si>
    <t>Sensor Lj12a3-4-z/bx</t>
  </si>
  <si>
    <t>Sensor Inductivo de Proximidad DC 6-36v</t>
  </si>
  <si>
    <t>Sensor Inductivo Proximidad, Lj12a3-4-z/bx, Npn Dc 6-36v 4mm | Cuotas sin interés</t>
  </si>
  <si>
    <t>Cortadora de tubos de acero inoxidable semiautomática</t>
  </si>
  <si>
    <t>Cortadora semiautomática</t>
  </si>
  <si>
    <t>Venta De Fábrica,Máquina Cortadora De Tubos Hidráulica Eléctrica,Cortadora De Tubos De Acero Inoxidable Semiautomática,Máquina Cortadora De Tubos Portátil - Buy Pipe Cutting Machine pipe Cutter laser Tube Cutting Machine laser Pipe Cutting Machine tube Laser Cutting Machine tube Cutting Machine pipe Laser Cutting Machine pvc Pipe Cutter laser Pipe Cutter pipe Cutter Machine automatic Pipe Cutting Machine paper Tube Cutting Machine heavy Duty Laser Tube Cutting Machine exhaust Pipe Cutter pipe Cutter Tool fiber Laser Tube Cutting Machine Product on Alibaba.com</t>
  </si>
  <si>
    <t>Costos Operativos Anuales (OPEX)</t>
  </si>
  <si>
    <t>Costos de Capital (CAPEX)</t>
  </si>
  <si>
    <t>Costo estimado (COP)</t>
  </si>
  <si>
    <t>Ingresos/Beneficios (COP)</t>
  </si>
  <si>
    <t>Costos Operativos (COP)</t>
  </si>
  <si>
    <t>Flujo Neto Anual (COP)</t>
  </si>
  <si>
    <t>Flujo Acumulado (COP)</t>
  </si>
  <si>
    <t>AB 1756-L82EK ControlLogix 5580 Controller New Expedited Shipping | eBay</t>
  </si>
  <si>
    <t xml:space="preserve">Módulo de 16 salidas digitales ControlLogix 5580 </t>
  </si>
  <si>
    <t>New AB 1756-A7 Genuine 7 Slot ControlLogix Chassis Allen-Bradley 1756-A7 | eBay</t>
  </si>
  <si>
    <t>New Genuine Allen Bradley 1756-IB16 / A ControlLogix Input Module 1756 IB16 | eBay</t>
  </si>
  <si>
    <t>Allen-Bradley 1756-IF16 SER A ControlLogix 16 Pt Input Module New 1756IF16 ! AB | eBay</t>
  </si>
  <si>
    <t>Allen Bradley 1756-OB16D /A ControlLogix PLC DC Ouput Module Factory Sealed 2022 | eBay</t>
  </si>
  <si>
    <t>Allen-Bradley 1756-IA16 New Sealed SER A ControlLogix 16Pt Input Module 1756IA16 | eBay</t>
  </si>
  <si>
    <t>1 PCS New Surplus Allen-Bradley 1756-EN3TR /B EtherNet/IP Module AB 1756EN3TR US | eBay</t>
  </si>
  <si>
    <t>Adquisiciones</t>
  </si>
  <si>
    <t>Integración software MES</t>
  </si>
  <si>
    <t xml:space="preserve">Estudio Técnico </t>
  </si>
  <si>
    <t>Instalación de Equipos</t>
  </si>
  <si>
    <t>Programación Celda Robotizada</t>
  </si>
  <si>
    <t>Licencia Studio 5000</t>
  </si>
  <si>
    <t>Mantenimiento servidores MQTT de Azure</t>
  </si>
  <si>
    <t>Licencia Siemens NX</t>
  </si>
  <si>
    <t>Gabinete de Control</t>
  </si>
  <si>
    <t>Gabinete Atlantic3 720x520x250 Ip66</t>
  </si>
  <si>
    <t>Gabinetes eléctricos y tableros eléctricos | Edemco Buena energía</t>
  </si>
  <si>
    <t>Breaker de Protección</t>
  </si>
  <si>
    <t>Breaker Schneider Acti9 Ic60n 2x16 A</t>
  </si>
  <si>
    <t>Breaker Schneider Acti9 Ic60n 2x16amperios Montaje En Riel | Cuotas sin interés</t>
  </si>
  <si>
    <t>Cableado Eléctrico</t>
  </si>
  <si>
    <t>Cableado de Instrumentación y de Potencia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</si>
</sst>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_);[Red]\(&quot;$&quot;#,##0.00\)"/>
    <numFmt numFmtId="165" formatCode="_(&quot;$&quot;* #,##0.00_);_(&quot;$&quot;* \(#,##0.00\);_(&quot;$&quot;* &quot;-&quot;??_);_(@_)"/>
    <numFmt numFmtId="166" formatCode="&quot;$&quot;\ #,##0.00"/>
    <numFmt numFmtId="167" formatCode="0.0%"/>
  </numFmts>
  <fonts count="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0"/>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style="thin">
        <color auto="1"/>
      </left>
      <right style="thin">
        <color auto="1"/>
      </right>
      <top/>
      <bottom style="double">
        <color indexed="64"/>
      </bottom>
      <diagonal/>
    </border>
    <border>
      <left/>
      <right style="thin">
        <color auto="1"/>
      </right>
      <top style="thin">
        <color auto="1"/>
      </top>
      <bottom/>
      <diagonal/>
    </border>
    <border>
      <left style="thin">
        <color indexed="64"/>
      </left>
      <right/>
      <top style="thin">
        <color indexed="64"/>
      </top>
      <bottom/>
      <diagonal/>
    </border>
  </borders>
  <cellStyleXfs count="4">
    <xf numFmtId="0" fontId="0" fillId="0" borderId="0"/>
    <xf numFmtId="165"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50">
    <xf numFmtId="0" fontId="0" fillId="0" borderId="0" xfId="0"/>
    <xf numFmtId="0" fontId="0" fillId="0" borderId="0" xfId="0"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2" fillId="0" borderId="1" xfId="0" applyFont="1" applyBorder="1" applyAlignment="1">
      <alignment horizontal="center" vertical="center"/>
    </xf>
    <xf numFmtId="0" fontId="0" fillId="0" borderId="0" xfId="0" applyAlignment="1">
      <alignment horizontal="center" vertical="center"/>
    </xf>
    <xf numFmtId="0" fontId="2" fillId="0" borderId="4" xfId="0"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0" fillId="0" borderId="2" xfId="0" applyBorder="1" applyAlignment="1">
      <alignment vertical="center"/>
    </xf>
    <xf numFmtId="165" fontId="0" fillId="0" borderId="2" xfId="1" applyFont="1" applyBorder="1" applyAlignment="1">
      <alignment vertical="center"/>
    </xf>
    <xf numFmtId="165" fontId="0" fillId="0" borderId="1" xfId="1" applyFont="1" applyBorder="1" applyAlignment="1">
      <alignment vertical="center"/>
    </xf>
    <xf numFmtId="164" fontId="0" fillId="0" borderId="1" xfId="0" applyNumberFormat="1" applyBorder="1" applyAlignment="1">
      <alignment horizontal="center" vertical="center"/>
    </xf>
    <xf numFmtId="165" fontId="0" fillId="0" borderId="0" xfId="0" applyNumberFormat="1"/>
    <xf numFmtId="165" fontId="1" fillId="0" borderId="1" xfId="1" applyFont="1" applyFill="1" applyBorder="1" applyAlignment="1">
      <alignment vertical="center"/>
    </xf>
    <xf numFmtId="2" fontId="0" fillId="0" borderId="1" xfId="0" applyNumberFormat="1" applyBorder="1" applyAlignment="1">
      <alignment horizontal="center" vertical="center"/>
    </xf>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0" fontId="2" fillId="0" borderId="5" xfId="0" applyFont="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0" fillId="0" borderId="2" xfId="0" applyBorder="1" applyAlignment="1">
      <alignment horizontal="center"/>
    </xf>
    <xf numFmtId="0" fontId="0" fillId="0" borderId="0" xfId="0" applyAlignment="1">
      <alignment horizontal="center"/>
    </xf>
    <xf numFmtId="0" fontId="0" fillId="0" borderId="1" xfId="0" applyBorder="1" applyAlignment="1">
      <alignment horizontal="center" vertical="center"/>
    </xf>
    <xf numFmtId="166" fontId="2" fillId="0" borderId="1" xfId="0" applyNumberFormat="1" applyFont="1" applyBorder="1" applyAlignment="1">
      <alignment horizontal="center" vertical="center" wrapText="1"/>
    </xf>
    <xf numFmtId="166" fontId="2" fillId="0" borderId="2" xfId="0" applyNumberFormat="1" applyFont="1" applyBorder="1" applyAlignment="1">
      <alignment horizontal="center" vertical="center" wrapText="1"/>
    </xf>
    <xf numFmtId="0" fontId="3" fillId="0" borderId="1" xfId="3" applyBorder="1" applyAlignment="1">
      <alignment horizontal="center" vertical="center"/>
    </xf>
    <xf numFmtId="0" fontId="0" fillId="0" borderId="1" xfId="0" applyBorder="1" applyAlignment="1">
      <alignment horizontal="center" wrapText="1"/>
    </xf>
    <xf numFmtId="0" fontId="3" fillId="0" borderId="1" xfId="3" applyBorder="1" applyAlignment="1">
      <alignment horizontal="center"/>
    </xf>
    <xf numFmtId="166" fontId="0" fillId="0" borderId="1" xfId="0" applyNumberFormat="1" applyBorder="1" applyAlignment="1">
      <alignment horizontal="center" vertical="center"/>
    </xf>
    <xf numFmtId="166" fontId="0" fillId="0" borderId="2" xfId="0" applyNumberFormat="1" applyBorder="1" applyAlignment="1">
      <alignment horizontal="center" vertical="center"/>
    </xf>
    <xf numFmtId="0" fontId="0" fillId="0" borderId="1" xfId="0" applyBorder="1"/>
    <xf numFmtId="9" fontId="0" fillId="0" borderId="1" xfId="0" applyNumberFormat="1" applyBorder="1" applyAlignment="1">
      <alignment horizontal="center"/>
    </xf>
    <xf numFmtId="0" fontId="3" fillId="0" borderId="1" xfId="3" applyBorder="1" applyAlignment="1">
      <alignment horizontal="center" vertical="center" wrapText="1"/>
    </xf>
    <xf numFmtId="167" fontId="0" fillId="0" borderId="1" xfId="0" applyNumberFormat="1" applyBorder="1" applyAlignment="1">
      <alignment horizontal="center"/>
    </xf>
    <xf numFmtId="0" fontId="0" fillId="0" borderId="2" xfId="0" applyBorder="1" applyAlignment="1">
      <alignment horizontal="center" vertical="center"/>
    </xf>
    <xf numFmtId="166" fontId="0" fillId="0" borderId="2" xfId="0" applyNumberFormat="1" applyBorder="1" applyAlignment="1">
      <alignment horizontal="center" vertical="center" wrapText="1"/>
    </xf>
    <xf numFmtId="166" fontId="0" fillId="0" borderId="1" xfId="0" applyNumberFormat="1" applyBorder="1" applyAlignment="1">
      <alignment horizontal="center" vertical="center" wrapText="1"/>
    </xf>
    <xf numFmtId="165" fontId="0" fillId="4" borderId="1" xfId="1" applyFont="1" applyFill="1" applyBorder="1" applyAlignment="1">
      <alignment vertical="center"/>
    </xf>
    <xf numFmtId="165" fontId="1" fillId="2" borderId="1" xfId="1" applyFont="1" applyFill="1" applyBorder="1" applyAlignment="1">
      <alignment vertical="center"/>
    </xf>
    <xf numFmtId="0" fontId="0" fillId="0" borderId="1" xfId="0" applyBorder="1" applyAlignment="1">
      <alignment horizontal="center"/>
    </xf>
    <xf numFmtId="0" fontId="2" fillId="3" borderId="1" xfId="0" applyFont="1" applyFill="1" applyBorder="1" applyAlignment="1">
      <alignment horizontal="center" vertical="center"/>
    </xf>
    <xf numFmtId="0" fontId="2" fillId="0" borderId="2" xfId="0" applyFont="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3" xfId="0" applyFont="1" applyFill="1" applyBorder="1" applyAlignment="1">
      <alignment horizontal="center" vertical="center"/>
    </xf>
  </cellXfs>
  <cellStyles count="4">
    <cellStyle name="Hipervínculo" xfId="3" builtinId="8"/>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Flujo de Caja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v>Beneficios</c:v>
          </c:tx>
          <c:spPr>
            <a:solidFill>
              <a:schemeClr val="accent2"/>
            </a:solidFill>
            <a:ln>
              <a:noFill/>
            </a:ln>
            <a:effectLst/>
          </c:spPr>
          <c:invertIfNegative val="0"/>
          <c:cat>
            <c:numRef>
              <c:f>'Flujo de Caja'!$B$4:$B$13</c:f>
              <c:numCache>
                <c:formatCode>General</c:formatCode>
                <c:ptCount val="10"/>
                <c:pt idx="0">
                  <c:v>0</c:v>
                </c:pt>
                <c:pt idx="1">
                  <c:v>1</c:v>
                </c:pt>
                <c:pt idx="2">
                  <c:v>2</c:v>
                </c:pt>
                <c:pt idx="3">
                  <c:v>3</c:v>
                </c:pt>
                <c:pt idx="4">
                  <c:v>4</c:v>
                </c:pt>
                <c:pt idx="5">
                  <c:v>5</c:v>
                </c:pt>
                <c:pt idx="6">
                  <c:v>6</c:v>
                </c:pt>
                <c:pt idx="7">
                  <c:v>7</c:v>
                </c:pt>
                <c:pt idx="8">
                  <c:v>8</c:v>
                </c:pt>
                <c:pt idx="9">
                  <c:v>9</c:v>
                </c:pt>
              </c:numCache>
            </c:numRef>
          </c:cat>
          <c:val>
            <c:numRef>
              <c:f>'Flujo de Caja'!$C$4:$C$13</c:f>
              <c:numCache>
                <c:formatCode>_("$"* #,##0.00_);_("$"* \(#,##0.00\);_("$"* "-"??_);_(@_)</c:formatCode>
                <c:ptCount val="10"/>
                <c:pt idx="0">
                  <c:v>0</c:v>
                </c:pt>
                <c:pt idx="1">
                  <c:v>100000000</c:v>
                </c:pt>
                <c:pt idx="2">
                  <c:v>100000000</c:v>
                </c:pt>
                <c:pt idx="3">
                  <c:v>100000000</c:v>
                </c:pt>
                <c:pt idx="4">
                  <c:v>100000000</c:v>
                </c:pt>
                <c:pt idx="5">
                  <c:v>100000000</c:v>
                </c:pt>
                <c:pt idx="6">
                  <c:v>100000000</c:v>
                </c:pt>
                <c:pt idx="7">
                  <c:v>100000000</c:v>
                </c:pt>
                <c:pt idx="8">
                  <c:v>100000000</c:v>
                </c:pt>
                <c:pt idx="9">
                  <c:v>100000000</c:v>
                </c:pt>
              </c:numCache>
            </c:numRef>
          </c:val>
          <c:extLst>
            <c:ext xmlns:c16="http://schemas.microsoft.com/office/drawing/2014/chart" uri="{C3380CC4-5D6E-409C-BE32-E72D297353CC}">
              <c16:uniqueId val="{00000001-AC86-4587-B773-696A8033DB65}"/>
            </c:ext>
          </c:extLst>
        </c:ser>
        <c:ser>
          <c:idx val="2"/>
          <c:order val="1"/>
          <c:tx>
            <c:v>Costos</c:v>
          </c:tx>
          <c:spPr>
            <a:solidFill>
              <a:schemeClr val="accent3"/>
            </a:solidFill>
            <a:ln>
              <a:noFill/>
            </a:ln>
            <a:effectLst/>
          </c:spPr>
          <c:invertIfNegative val="0"/>
          <c:cat>
            <c:numRef>
              <c:f>'Flujo de Caja'!$B$4:$B$13</c:f>
              <c:numCache>
                <c:formatCode>General</c:formatCode>
                <c:ptCount val="10"/>
                <c:pt idx="0">
                  <c:v>0</c:v>
                </c:pt>
                <c:pt idx="1">
                  <c:v>1</c:v>
                </c:pt>
                <c:pt idx="2">
                  <c:v>2</c:v>
                </c:pt>
                <c:pt idx="3">
                  <c:v>3</c:v>
                </c:pt>
                <c:pt idx="4">
                  <c:v>4</c:v>
                </c:pt>
                <c:pt idx="5">
                  <c:v>5</c:v>
                </c:pt>
                <c:pt idx="6">
                  <c:v>6</c:v>
                </c:pt>
                <c:pt idx="7">
                  <c:v>7</c:v>
                </c:pt>
                <c:pt idx="8">
                  <c:v>8</c:v>
                </c:pt>
                <c:pt idx="9">
                  <c:v>9</c:v>
                </c:pt>
              </c:numCache>
            </c:numRef>
          </c:cat>
          <c:val>
            <c:numRef>
              <c:f>'Flujo de Caja'!$D$4:$D$13</c:f>
              <c:numCache>
                <c:formatCode>_("$"* #,##0.00_);_("$"* \(#,##0.00\);_("$"* "-"??_);_(@_)</c:formatCode>
                <c:ptCount val="10"/>
                <c:pt idx="0">
                  <c:v>-357491194.20090914</c:v>
                </c:pt>
                <c:pt idx="1">
                  <c:v>-60174800</c:v>
                </c:pt>
                <c:pt idx="2">
                  <c:v>-60174800</c:v>
                </c:pt>
                <c:pt idx="3">
                  <c:v>-60174800</c:v>
                </c:pt>
                <c:pt idx="4">
                  <c:v>-60174800</c:v>
                </c:pt>
                <c:pt idx="5">
                  <c:v>-60174800</c:v>
                </c:pt>
                <c:pt idx="6">
                  <c:v>-60174800</c:v>
                </c:pt>
                <c:pt idx="7">
                  <c:v>-60174800</c:v>
                </c:pt>
                <c:pt idx="8">
                  <c:v>-60174800</c:v>
                </c:pt>
                <c:pt idx="9">
                  <c:v>-60174800</c:v>
                </c:pt>
              </c:numCache>
            </c:numRef>
          </c:val>
          <c:extLst>
            <c:ext xmlns:c16="http://schemas.microsoft.com/office/drawing/2014/chart" uri="{C3380CC4-5D6E-409C-BE32-E72D297353CC}">
              <c16:uniqueId val="{00000002-AC86-4587-B773-696A8033DB65}"/>
            </c:ext>
          </c:extLst>
        </c:ser>
        <c:ser>
          <c:idx val="0"/>
          <c:order val="2"/>
          <c:tx>
            <c:v>Acumulado</c:v>
          </c:tx>
          <c:spPr>
            <a:solidFill>
              <a:schemeClr val="accent1"/>
            </a:solidFill>
            <a:ln>
              <a:noFill/>
            </a:ln>
            <a:effectLst/>
          </c:spPr>
          <c:invertIfNegative val="0"/>
          <c:val>
            <c:numRef>
              <c:f>'Flujo de Caja'!$F$4:$F$13</c:f>
              <c:numCache>
                <c:formatCode>_("$"* #,##0.00_);_("$"* \(#,##0.00\);_("$"* "-"??_);_(@_)</c:formatCode>
                <c:ptCount val="10"/>
                <c:pt idx="0">
                  <c:v>-357491194.20090914</c:v>
                </c:pt>
                <c:pt idx="1">
                  <c:v>-317665994.20090914</c:v>
                </c:pt>
                <c:pt idx="2">
                  <c:v>-277840794.20090914</c:v>
                </c:pt>
                <c:pt idx="3">
                  <c:v>-238015594.20090914</c:v>
                </c:pt>
                <c:pt idx="4">
                  <c:v>-198190394.20090914</c:v>
                </c:pt>
                <c:pt idx="5">
                  <c:v>-158365194.20090914</c:v>
                </c:pt>
                <c:pt idx="6">
                  <c:v>-118539994.20090914</c:v>
                </c:pt>
                <c:pt idx="7">
                  <c:v>-78714794.200909138</c:v>
                </c:pt>
                <c:pt idx="8">
                  <c:v>-38889594.200909138</c:v>
                </c:pt>
                <c:pt idx="9">
                  <c:v>935605.79909086227</c:v>
                </c:pt>
              </c:numCache>
            </c:numRef>
          </c:val>
          <c:extLst>
            <c:ext xmlns:c16="http://schemas.microsoft.com/office/drawing/2014/chart" uri="{C3380CC4-5D6E-409C-BE32-E72D297353CC}">
              <c16:uniqueId val="{00000003-AC86-4587-B773-696A8033DB65}"/>
            </c:ext>
          </c:extLst>
        </c:ser>
        <c:dLbls>
          <c:showLegendKey val="0"/>
          <c:showVal val="0"/>
          <c:showCatName val="0"/>
          <c:showSerName val="0"/>
          <c:showPercent val="0"/>
          <c:showBubbleSize val="0"/>
        </c:dLbls>
        <c:gapWidth val="219"/>
        <c:overlap val="-27"/>
        <c:axId val="1970907439"/>
        <c:axId val="1970907919"/>
      </c:barChart>
      <c:catAx>
        <c:axId val="197090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919"/>
        <c:crosses val="autoZero"/>
        <c:auto val="1"/>
        <c:lblAlgn val="ctr"/>
        <c:lblOffset val="100"/>
        <c:noMultiLvlLbl val="0"/>
      </c:catAx>
      <c:valAx>
        <c:axId val="197090791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7620</xdr:colOff>
      <xdr:row>1</xdr:row>
      <xdr:rowOff>87630</xdr:rowOff>
    </xdr:from>
    <xdr:to>
      <xdr:col>17</xdr:col>
      <xdr:colOff>289560</xdr:colOff>
      <xdr:row>10</xdr:row>
      <xdr:rowOff>240030</xdr:rowOff>
    </xdr:to>
    <xdr:graphicFrame macro="">
      <xdr:nvGraphicFramePr>
        <xdr:cNvPr id="4" name="Chart 3">
          <a:extLst>
            <a:ext uri="{FF2B5EF4-FFF2-40B4-BE49-F238E27FC236}">
              <a16:creationId xmlns:a16="http://schemas.microsoft.com/office/drawing/2014/main" id="{179A9D10-F899-FCC3-C2AD-2765003BC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TargetMode="External"/><Relationship Id="rId13" Type="http://schemas.openxmlformats.org/officeDocument/2006/relationships/hyperlink" Target="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TargetMode="External"/><Relationship Id="rId3" Type="http://schemas.openxmlformats.org/officeDocument/2006/relationships/hyperlink" Target="https://www.alibaba.com/product-detail/Industry-Chain-Conveyor-Flat-Top-Belt_1601105086502.html?spm=a2700.galleryofferlist.wending_right.i0.1bed13a0Bnuqgn" TargetMode="External"/><Relationship Id="rId7" Type="http://schemas.openxmlformats.org/officeDocument/2006/relationships/hyperlink" Target="https://www.ebay.com/itm/166849424558" TargetMode="External"/><Relationship Id="rId12" Type="http://schemas.openxmlformats.org/officeDocument/2006/relationships/hyperlink" Target="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TargetMode="External"/><Relationship Id="rId2" Type="http://schemas.openxmlformats.org/officeDocument/2006/relationships/hyperlink" Target="https://www.alibaba.com/product-detail/Sales-Long-Stroke-Gripper-PHL-50_1601453696624.html" TargetMode="External"/><Relationship Id="rId16" Type="http://schemas.openxmlformats.org/officeDocument/2006/relationships/printerSettings" Target="../printerSettings/printerSettings1.bin"/><Relationship Id="rId1" Type="http://schemas.openxmlformats.org/officeDocument/2006/relationships/hyperlink" Target="https://www.alibaba.com/product-detail/ABB-IRB4600-Industrial-Robot-6-Axis_11000000022828.html" TargetMode="External"/><Relationship Id="rId6" Type="http://schemas.openxmlformats.org/officeDocument/2006/relationships/hyperlink" Target="https://www.ebay.com/itm/396333594392" TargetMode="External"/><Relationship Id="rId11" Type="http://schemas.openxmlformats.org/officeDocument/2006/relationships/hyperlink" Target="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TargetMode="External"/><Relationship Id="rId5" Type="http://schemas.openxmlformats.org/officeDocument/2006/relationships/hyperlink" Target="https://www.alibaba.com/product-detail/Factory-Sale-Electric-Hydraulic-Tube-Cutting_1601548693622.html?spm=a2700.galleryofferlist.normal_offer.d_image.7ec413a02fIr2k" TargetMode="External"/><Relationship Id="rId15" Type="http://schemas.openxmlformats.org/officeDocument/2006/relationships/hyperlink" Target="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TargetMode="External"/><Relationship Id="rId10" Type="http://schemas.openxmlformats.org/officeDocument/2006/relationships/hyperlink" Target="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TargetMode="External"/><Relationship Id="rId4" Type="http://schemas.openxmlformats.org/officeDocument/2006/relationships/hyperlink" Target="https://www.mercadolibre.com.co/sensor-inductivo-proximidad-lj12a34zbx-npn-dc-636v-4mm/up/MCOU2430856847" TargetMode="External"/><Relationship Id="rId9" Type="http://schemas.openxmlformats.org/officeDocument/2006/relationships/hyperlink" Target="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TargetMode="External"/><Relationship Id="rId14" Type="http://schemas.openxmlformats.org/officeDocument/2006/relationships/hyperlink" Target="https://edemco.co/productos/carpinteria-metalica/gabine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CBAE-D0C8-41AE-A8CA-A771B9663965}">
  <dimension ref="A1:J24"/>
  <sheetViews>
    <sheetView workbookViewId="0">
      <selection activeCell="I25" sqref="I25"/>
    </sheetView>
  </sheetViews>
  <sheetFormatPr baseColWidth="10" defaultColWidth="8.88671875" defaultRowHeight="14.4" x14ac:dyDescent="0.3"/>
  <cols>
    <col min="1" max="1" width="9.44140625" bestFit="1" customWidth="1"/>
    <col min="2" max="2" width="30.6640625" customWidth="1"/>
    <col min="3" max="3" width="41.33203125" bestFit="1" customWidth="1"/>
    <col min="4" max="4" width="8.5546875" bestFit="1" customWidth="1"/>
    <col min="5" max="5" width="18.44140625" bestFit="1" customWidth="1"/>
    <col min="6" max="6" width="18.21875" bestFit="1" customWidth="1"/>
    <col min="7" max="7" width="20.5546875" bestFit="1" customWidth="1"/>
    <col min="8" max="8" width="19.109375" customWidth="1"/>
    <col min="9" max="9" width="15.77734375" bestFit="1" customWidth="1"/>
    <col min="10" max="10" width="82.33203125" bestFit="1" customWidth="1"/>
    <col min="11" max="11" width="82.77734375" bestFit="1" customWidth="1"/>
  </cols>
  <sheetData>
    <row r="1" spans="1:10" x14ac:dyDescent="0.3">
      <c r="A1" s="42" t="s">
        <v>29</v>
      </c>
      <c r="B1" s="42"/>
    </row>
    <row r="2" spans="1:10" x14ac:dyDescent="0.3">
      <c r="A2" s="33" t="s">
        <v>33</v>
      </c>
      <c r="B2" s="36">
        <v>5.0000000000000001E-3</v>
      </c>
    </row>
    <row r="3" spans="1:10" x14ac:dyDescent="0.3">
      <c r="A3" s="33" t="s">
        <v>30</v>
      </c>
      <c r="B3" s="34">
        <v>0.1</v>
      </c>
    </row>
    <row r="4" spans="1:10" ht="15" customHeight="1" x14ac:dyDescent="0.3">
      <c r="A4" s="33" t="s">
        <v>24</v>
      </c>
      <c r="B4" s="34">
        <v>0.19</v>
      </c>
    </row>
    <row r="5" spans="1:10" x14ac:dyDescent="0.3">
      <c r="B5" s="1"/>
      <c r="C5" s="1"/>
      <c r="D5" s="1"/>
      <c r="E5" s="1"/>
      <c r="F5" s="1"/>
    </row>
    <row r="6" spans="1:10" s="24" customFormat="1" x14ac:dyDescent="0.3">
      <c r="A6" s="43" t="s">
        <v>26</v>
      </c>
      <c r="B6" s="43"/>
      <c r="C6" s="43"/>
      <c r="D6" s="43"/>
      <c r="E6" s="43"/>
      <c r="F6" s="43"/>
      <c r="G6" s="43"/>
      <c r="H6" s="43"/>
      <c r="I6" s="43"/>
      <c r="J6" s="43"/>
    </row>
    <row r="7" spans="1:10" s="24" customFormat="1" x14ac:dyDescent="0.3">
      <c r="A7" s="6" t="s">
        <v>21</v>
      </c>
      <c r="B7" s="6" t="s">
        <v>3</v>
      </c>
      <c r="C7" s="6" t="s">
        <v>4</v>
      </c>
      <c r="D7" s="6" t="s">
        <v>22</v>
      </c>
      <c r="E7" s="3" t="s">
        <v>23</v>
      </c>
      <c r="F7" s="3" t="s">
        <v>31</v>
      </c>
      <c r="G7" s="3" t="s">
        <v>32</v>
      </c>
      <c r="H7" s="3" t="s">
        <v>25</v>
      </c>
      <c r="I7" s="3" t="s">
        <v>27</v>
      </c>
      <c r="J7" s="6" t="s">
        <v>28</v>
      </c>
    </row>
    <row r="8" spans="1:10" s="24" customFormat="1" ht="28.8" x14ac:dyDescent="0.3">
      <c r="A8" s="25">
        <v>1</v>
      </c>
      <c r="B8" s="5" t="s">
        <v>35</v>
      </c>
      <c r="C8" s="5" t="s">
        <v>5</v>
      </c>
      <c r="D8" s="5">
        <v>1</v>
      </c>
      <c r="E8" s="31">
        <f>22600*4000</f>
        <v>90400000</v>
      </c>
      <c r="F8" s="31">
        <f>5140*4000</f>
        <v>20560000</v>
      </c>
      <c r="G8" s="31">
        <f>(D8*E8*110%)*$B$2</f>
        <v>497200.00000000006</v>
      </c>
      <c r="H8" s="31">
        <f>(E8+G8+F8)*(1+$B$3)*$B$4</f>
        <v>23294554.800000004</v>
      </c>
      <c r="I8" s="31">
        <f>E8*D8+G8+H8+F8</f>
        <v>134751754.80000001</v>
      </c>
      <c r="J8" s="35" t="s">
        <v>34</v>
      </c>
    </row>
    <row r="9" spans="1:10" s="24" customFormat="1" ht="43.2" x14ac:dyDescent="0.3">
      <c r="A9" s="25">
        <v>2</v>
      </c>
      <c r="B9" s="5" t="s">
        <v>36</v>
      </c>
      <c r="C9" s="5" t="s">
        <v>37</v>
      </c>
      <c r="D9" s="5">
        <v>1</v>
      </c>
      <c r="E9" s="31">
        <f>4000*4000</f>
        <v>16000000</v>
      </c>
      <c r="F9" s="31">
        <f>187*4000</f>
        <v>748000</v>
      </c>
      <c r="G9" s="31">
        <f>(D9*E9*110%)*$B$2</f>
        <v>88000</v>
      </c>
      <c r="H9" s="31">
        <f>(E9+G9+F9)*(1+$B$3)*$B$4</f>
        <v>3518724</v>
      </c>
      <c r="I9" s="31">
        <f>E9*D9+G9+H9+F9</f>
        <v>20354724</v>
      </c>
      <c r="J9" s="35" t="s">
        <v>38</v>
      </c>
    </row>
    <row r="10" spans="1:10" s="24" customFormat="1" ht="57.6" x14ac:dyDescent="0.3">
      <c r="A10" s="25">
        <v>3</v>
      </c>
      <c r="B10" s="5" t="s">
        <v>39</v>
      </c>
      <c r="C10" s="5" t="s">
        <v>40</v>
      </c>
      <c r="D10" s="5">
        <v>2</v>
      </c>
      <c r="E10" s="31">
        <f>650*4000</f>
        <v>2600000</v>
      </c>
      <c r="F10" s="31">
        <f>2300*4000</f>
        <v>9200000</v>
      </c>
      <c r="G10" s="31">
        <f>(D10*E10*110%)*$B$2</f>
        <v>28600</v>
      </c>
      <c r="H10" s="31">
        <f>(E10+G10+F10)*(1+$B$3)*$B$4</f>
        <v>2472177.4000000004</v>
      </c>
      <c r="I10" s="31">
        <f>E10*D10+F10+H10</f>
        <v>16872177.399999999</v>
      </c>
      <c r="J10" s="35" t="s">
        <v>41</v>
      </c>
    </row>
    <row r="11" spans="1:10" s="24" customFormat="1" x14ac:dyDescent="0.3">
      <c r="A11" s="21">
        <v>4</v>
      </c>
      <c r="B11" s="25" t="s">
        <v>43</v>
      </c>
      <c r="C11" s="21" t="s">
        <v>42</v>
      </c>
      <c r="D11" s="21">
        <v>1</v>
      </c>
      <c r="E11" s="31">
        <f>8475*4000</f>
        <v>33900000</v>
      </c>
      <c r="F11" s="31">
        <v>0</v>
      </c>
      <c r="G11" s="31">
        <v>0</v>
      </c>
      <c r="H11" s="31">
        <f t="shared" ref="H11:H20" si="0">(E11+G11+F11)*(1+$B$3)*$B$4</f>
        <v>7085100</v>
      </c>
      <c r="I11" s="31">
        <f>E11*D11+F11+H11</f>
        <v>40985100</v>
      </c>
      <c r="J11" s="28" t="s">
        <v>70</v>
      </c>
    </row>
    <row r="12" spans="1:10" s="24" customFormat="1" ht="28.8" x14ac:dyDescent="0.3">
      <c r="A12" s="25">
        <v>5</v>
      </c>
      <c r="B12" s="25" t="s">
        <v>44</v>
      </c>
      <c r="C12" s="29" t="s">
        <v>47</v>
      </c>
      <c r="D12" s="21">
        <v>1</v>
      </c>
      <c r="E12" s="31">
        <f>435*4000</f>
        <v>1740000</v>
      </c>
      <c r="F12" s="31">
        <v>0</v>
      </c>
      <c r="G12" s="31">
        <v>0</v>
      </c>
      <c r="H12" s="31">
        <f t="shared" si="0"/>
        <v>363660.00000000006</v>
      </c>
      <c r="I12" s="31">
        <f t="shared" ref="I12:I18" si="1">E12*D12+F12+H12</f>
        <v>2103660</v>
      </c>
      <c r="J12" s="28" t="s">
        <v>72</v>
      </c>
    </row>
    <row r="13" spans="1:10" s="24" customFormat="1" ht="28.8" x14ac:dyDescent="0.3">
      <c r="A13" s="25">
        <v>6</v>
      </c>
      <c r="B13" s="25" t="s">
        <v>45</v>
      </c>
      <c r="C13" s="29" t="s">
        <v>46</v>
      </c>
      <c r="D13" s="21">
        <v>1</v>
      </c>
      <c r="E13" s="31">
        <f>381*4000</f>
        <v>1524000</v>
      </c>
      <c r="F13" s="31">
        <v>0</v>
      </c>
      <c r="G13" s="31">
        <v>0</v>
      </c>
      <c r="H13" s="31">
        <f>(E13+G13+F13)*(1+$B$3)*$B$4</f>
        <v>318516.00000000006</v>
      </c>
      <c r="I13" s="31">
        <f>E13*D13+F13+H13</f>
        <v>1842516</v>
      </c>
      <c r="J13" s="28" t="s">
        <v>72</v>
      </c>
    </row>
    <row r="14" spans="1:10" s="24" customFormat="1" ht="28.8" x14ac:dyDescent="0.3">
      <c r="A14" s="25">
        <v>7</v>
      </c>
      <c r="B14" s="25" t="s">
        <v>56</v>
      </c>
      <c r="C14" s="29" t="s">
        <v>49</v>
      </c>
      <c r="D14" s="21">
        <v>1</v>
      </c>
      <c r="E14" s="31">
        <f>298*4000</f>
        <v>1192000</v>
      </c>
      <c r="F14" s="31">
        <v>0</v>
      </c>
      <c r="G14" s="31">
        <v>0</v>
      </c>
      <c r="H14" s="31">
        <f>(E14+G14+F14)*(1+$B$3)*$B$4</f>
        <v>249128</v>
      </c>
      <c r="I14" s="31">
        <f>E14*D14+F14+H14</f>
        <v>1441128</v>
      </c>
      <c r="J14" s="28" t="s">
        <v>73</v>
      </c>
    </row>
    <row r="15" spans="1:10" s="24" customFormat="1" ht="28.8" x14ac:dyDescent="0.3">
      <c r="A15" s="21">
        <v>8</v>
      </c>
      <c r="B15" s="25" t="s">
        <v>55</v>
      </c>
      <c r="C15" s="29" t="s">
        <v>48</v>
      </c>
      <c r="D15" s="21">
        <v>1</v>
      </c>
      <c r="E15" s="31">
        <f>435*4000</f>
        <v>1740000</v>
      </c>
      <c r="F15" s="31">
        <v>0</v>
      </c>
      <c r="G15" s="31">
        <v>0</v>
      </c>
      <c r="H15" s="31">
        <f t="shared" si="0"/>
        <v>363660.00000000006</v>
      </c>
      <c r="I15" s="31">
        <f t="shared" si="1"/>
        <v>2103660</v>
      </c>
      <c r="J15" s="28" t="s">
        <v>74</v>
      </c>
    </row>
    <row r="16" spans="1:10" s="24" customFormat="1" x14ac:dyDescent="0.3">
      <c r="A16" s="25">
        <v>9</v>
      </c>
      <c r="B16" s="25" t="s">
        <v>54</v>
      </c>
      <c r="C16" s="5" t="s">
        <v>71</v>
      </c>
      <c r="D16" s="21">
        <v>1</v>
      </c>
      <c r="E16" s="31">
        <f>379*4000</f>
        <v>1516000</v>
      </c>
      <c r="F16" s="31">
        <v>0</v>
      </c>
      <c r="G16" s="31">
        <v>0</v>
      </c>
      <c r="H16" s="31">
        <f t="shared" si="0"/>
        <v>316844.00000000006</v>
      </c>
      <c r="I16" s="31">
        <f t="shared" si="1"/>
        <v>1832844</v>
      </c>
      <c r="J16" s="28" t="s">
        <v>75</v>
      </c>
    </row>
    <row r="17" spans="1:10" s="24" customFormat="1" ht="28.8" x14ac:dyDescent="0.3">
      <c r="A17" s="25">
        <v>10</v>
      </c>
      <c r="B17" s="25" t="s">
        <v>53</v>
      </c>
      <c r="C17" s="29" t="s">
        <v>50</v>
      </c>
      <c r="D17" s="21">
        <v>1</v>
      </c>
      <c r="E17" s="31">
        <f>223*4000</f>
        <v>892000</v>
      </c>
      <c r="F17" s="31">
        <v>0</v>
      </c>
      <c r="G17" s="31">
        <v>0</v>
      </c>
      <c r="H17" s="31">
        <f t="shared" si="0"/>
        <v>186428.00000000003</v>
      </c>
      <c r="I17" s="31">
        <f t="shared" si="1"/>
        <v>1078428</v>
      </c>
      <c r="J17" s="28" t="s">
        <v>76</v>
      </c>
    </row>
    <row r="18" spans="1:10" s="24" customFormat="1" x14ac:dyDescent="0.3">
      <c r="A18" s="25">
        <v>11</v>
      </c>
      <c r="B18" s="25" t="s">
        <v>51</v>
      </c>
      <c r="C18" s="29" t="s">
        <v>52</v>
      </c>
      <c r="D18" s="21">
        <v>1</v>
      </c>
      <c r="E18" s="31">
        <f>1112*4000</f>
        <v>4448000</v>
      </c>
      <c r="F18" s="31">
        <v>0</v>
      </c>
      <c r="G18" s="31">
        <v>0</v>
      </c>
      <c r="H18" s="31">
        <f t="shared" si="0"/>
        <v>929632</v>
      </c>
      <c r="I18" s="31">
        <f t="shared" si="1"/>
        <v>5377632</v>
      </c>
      <c r="J18" s="30" t="s">
        <v>77</v>
      </c>
    </row>
    <row r="19" spans="1:10" s="24" customFormat="1" x14ac:dyDescent="0.3">
      <c r="A19" s="37">
        <v>12</v>
      </c>
      <c r="B19" s="25" t="s">
        <v>57</v>
      </c>
      <c r="C19" s="29" t="s">
        <v>58</v>
      </c>
      <c r="D19" s="23">
        <v>4</v>
      </c>
      <c r="E19" s="31">
        <v>21990</v>
      </c>
      <c r="F19" s="31">
        <v>0</v>
      </c>
      <c r="G19" s="31">
        <v>0</v>
      </c>
      <c r="H19" s="31">
        <f t="shared" si="0"/>
        <v>4595.9100000000008</v>
      </c>
      <c r="I19" s="31">
        <f>E19*D19+F19+H19</f>
        <v>92555.91</v>
      </c>
      <c r="J19" s="28" t="s">
        <v>59</v>
      </c>
    </row>
    <row r="20" spans="1:10" s="24" customFormat="1" ht="100.8" x14ac:dyDescent="0.3">
      <c r="A20" s="25">
        <v>13</v>
      </c>
      <c r="B20" s="25" t="s">
        <v>61</v>
      </c>
      <c r="C20" s="5" t="s">
        <v>60</v>
      </c>
      <c r="D20" s="25">
        <v>1</v>
      </c>
      <c r="E20" s="31">
        <f>500*4000</f>
        <v>2000000</v>
      </c>
      <c r="F20" s="31">
        <f>3000*4000</f>
        <v>12000000</v>
      </c>
      <c r="G20" s="31">
        <f>(D20*E20*110%)*$B$2</f>
        <v>11000</v>
      </c>
      <c r="H20" s="31">
        <f t="shared" si="0"/>
        <v>2928299.0000000005</v>
      </c>
      <c r="I20" s="31">
        <f t="shared" ref="I20:I23" si="2">E20*D20+F20+H20</f>
        <v>16928299</v>
      </c>
      <c r="J20" s="35" t="s">
        <v>62</v>
      </c>
    </row>
    <row r="21" spans="1:10" s="24" customFormat="1" x14ac:dyDescent="0.3">
      <c r="A21" s="37">
        <v>14</v>
      </c>
      <c r="B21" s="37" t="s">
        <v>86</v>
      </c>
      <c r="C21" s="4" t="s">
        <v>87</v>
      </c>
      <c r="D21" s="37">
        <v>1</v>
      </c>
      <c r="E21" s="32">
        <v>625806</v>
      </c>
      <c r="F21" s="32">
        <v>0</v>
      </c>
      <c r="G21" s="32">
        <v>0</v>
      </c>
      <c r="H21" s="31">
        <v>0</v>
      </c>
      <c r="I21" s="31">
        <f t="shared" si="2"/>
        <v>625806</v>
      </c>
      <c r="J21" s="30" t="s">
        <v>88</v>
      </c>
    </row>
    <row r="22" spans="1:10" s="24" customFormat="1" x14ac:dyDescent="0.3">
      <c r="A22" s="37">
        <v>15</v>
      </c>
      <c r="B22" s="37" t="s">
        <v>89</v>
      </c>
      <c r="C22" s="21" t="s">
        <v>90</v>
      </c>
      <c r="D22" s="37">
        <v>1</v>
      </c>
      <c r="E22" s="22">
        <v>110000</v>
      </c>
      <c r="F22" s="32">
        <v>0</v>
      </c>
      <c r="G22" s="32">
        <v>0</v>
      </c>
      <c r="H22" s="31">
        <v>0</v>
      </c>
      <c r="I22" s="31">
        <f t="shared" si="2"/>
        <v>110000</v>
      </c>
      <c r="J22" s="30" t="s">
        <v>91</v>
      </c>
    </row>
    <row r="23" spans="1:10" s="24" customFormat="1" x14ac:dyDescent="0.3">
      <c r="A23" s="37">
        <v>16</v>
      </c>
      <c r="B23" s="37" t="s">
        <v>92</v>
      </c>
      <c r="C23" s="4" t="s">
        <v>93</v>
      </c>
      <c r="D23" s="37">
        <v>1</v>
      </c>
      <c r="E23" s="32">
        <v>5000000</v>
      </c>
      <c r="F23" s="32">
        <v>0</v>
      </c>
      <c r="G23" s="32">
        <v>0</v>
      </c>
      <c r="H23" s="32">
        <v>0</v>
      </c>
      <c r="I23" s="31">
        <f t="shared" si="2"/>
        <v>5000000</v>
      </c>
      <c r="J23" s="35"/>
    </row>
    <row r="24" spans="1:10" ht="21" customHeight="1" x14ac:dyDescent="0.3">
      <c r="A24" s="44" t="s">
        <v>15</v>
      </c>
      <c r="B24" s="44"/>
      <c r="C24" s="44"/>
      <c r="D24" s="44"/>
      <c r="E24" s="44"/>
      <c r="F24" s="44"/>
      <c r="G24" s="44"/>
      <c r="H24" s="44"/>
      <c r="I24" s="27">
        <f>SUM(I8:I23)</f>
        <v>251500285.11000001</v>
      </c>
      <c r="J24" s="7"/>
    </row>
  </sheetData>
  <mergeCells count="3">
    <mergeCell ref="A1:B1"/>
    <mergeCell ref="A6:J6"/>
    <mergeCell ref="A24:H24"/>
  </mergeCells>
  <hyperlinks>
    <hyperlink ref="J8" r:id="rId1" display="https://www.alibaba.com/product-detail/ABB-IRB4600-Industrial-Robot-6-Axis_11000000022828.html" xr:uid="{4D4E613E-DCCB-4960-8405-A71F072263DE}"/>
    <hyperlink ref="J9" r:id="rId2" display="https://www.alibaba.com/product-detail/Sales-Long-Stroke-Gripper-PHL-50_1601453696624.html" xr:uid="{435F4C62-7674-46FD-818E-9FC51D1CBAEE}"/>
    <hyperlink ref="J10" r:id="rId3" display="https://www.alibaba.com/product-detail/Industry-Chain-Conveyor-Flat-Top-Belt_1601105086502.html?spm=a2700.galleryofferlist.wending_right.i0.1bed13a0Bnuqgn" xr:uid="{993A5C52-68DF-44DE-9AE9-ADDB38D93029}"/>
    <hyperlink ref="J19" r:id="rId4" display="https://www.mercadolibre.com.co/sensor-inductivo-proximidad-lj12a34zbx-npn-dc-636v-4mm/up/MCOU2430856847" xr:uid="{B6F955B6-6C0B-4AD3-BA0A-55BB08D47AB4}"/>
    <hyperlink ref="J20" r:id="rId5" display="https://www.alibaba.com/product-detail/Factory-Sale-Electric-Hydraulic-Tube-Cutting_1601548693622.html?spm=a2700.galleryofferlist.normal_offer.d_image.7ec413a02fIr2k" xr:uid="{CB0D2A07-3AF5-4EE6-A667-AB8C6D67A46F}"/>
    <hyperlink ref="J11" r:id="rId6" display="https://www.ebay.com/itm/396333594392" xr:uid="{7ABE7AB8-784E-4ADB-907B-7159069F76CE}"/>
    <hyperlink ref="J12" r:id="rId7" display="https://www.ebay.com/itm/166849424558" xr:uid="{C5A09119-0960-40C2-8C0A-215D1348A969}"/>
    <hyperlink ref="J13" r:id="rId8" display="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xr:uid="{752C5C5E-6D5C-4FB8-95B3-FB6396422737}"/>
    <hyperlink ref="J14" r:id="rId9" display="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xr:uid="{E9D1F424-739A-4596-8128-551AD742941E}"/>
    <hyperlink ref="J15" r:id="rId10" display="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xr:uid="{B29DB598-7DE4-417B-A9B7-931B478DA0D7}"/>
    <hyperlink ref="J16" r:id="rId11" display="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xr:uid="{2D8953CD-819A-4190-A680-92984C643B54}"/>
    <hyperlink ref="J17" r:id="rId12" display="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xr:uid="{66F0E71F-CC25-454B-B307-D409F610B227}"/>
    <hyperlink ref="J18" r:id="rId13" display="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xr:uid="{E7AA5AAE-1053-475F-868C-0875C6DAEE07}"/>
    <hyperlink ref="J21" r:id="rId14" display="https://edemco.co/productos/carpinteria-metalica/gabinetes" xr:uid="{ECD3EAAB-FB70-48C4-AD7D-42AEAB4540ED}"/>
    <hyperlink ref="J22" r:id="rId15" display="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xr:uid="{16BD8DBA-5847-45AF-86FA-A3B8B1FF881A}"/>
  </hyperlinks>
  <pageMargins left="0.7" right="0.7" top="0.75" bottom="0.75" header="0.3" footer="0.3"/>
  <pageSetup orientation="portrait" horizontalDpi="0" verticalDpi="0"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D9B4A-FA9A-457B-85DB-E77C62BD6A21}">
  <dimension ref="B2:G16"/>
  <sheetViews>
    <sheetView workbookViewId="0">
      <selection activeCell="I15" sqref="I15"/>
    </sheetView>
  </sheetViews>
  <sheetFormatPr baseColWidth="10" defaultColWidth="8.88671875" defaultRowHeight="14.4" x14ac:dyDescent="0.3"/>
  <cols>
    <col min="2" max="2" width="44.33203125" bestFit="1" customWidth="1"/>
    <col min="3" max="3" width="19.44140625" bestFit="1" customWidth="1"/>
    <col min="6" max="6" width="28.109375" bestFit="1" customWidth="1"/>
    <col min="7" max="7" width="19.44140625" bestFit="1" customWidth="1"/>
  </cols>
  <sheetData>
    <row r="2" spans="2:7" ht="15" thickBot="1" x14ac:dyDescent="0.35">
      <c r="B2" s="45" t="s">
        <v>63</v>
      </c>
      <c r="C2" s="46"/>
      <c r="F2" s="47" t="s">
        <v>64</v>
      </c>
      <c r="G2" s="48"/>
    </row>
    <row r="3" spans="2:7" ht="15.6" thickTop="1" thickBot="1" x14ac:dyDescent="0.35">
      <c r="B3" s="8" t="s">
        <v>3</v>
      </c>
      <c r="C3" s="20" t="s">
        <v>65</v>
      </c>
      <c r="F3" s="6" t="s">
        <v>3</v>
      </c>
      <c r="G3" s="3" t="s">
        <v>65</v>
      </c>
    </row>
    <row r="4" spans="2:7" ht="15" thickTop="1" x14ac:dyDescent="0.3">
      <c r="B4" s="4" t="s">
        <v>8</v>
      </c>
      <c r="C4" s="38">
        <v>15000000</v>
      </c>
      <c r="F4" s="25" t="s">
        <v>78</v>
      </c>
      <c r="G4" s="31">
        <f>'Presupuesto de adquisiciones'!I24</f>
        <v>251500285.11000001</v>
      </c>
    </row>
    <row r="5" spans="2:7" x14ac:dyDescent="0.3">
      <c r="B5" s="5" t="s">
        <v>9</v>
      </c>
      <c r="C5" s="38">
        <v>10000000</v>
      </c>
      <c r="F5" s="21" t="s">
        <v>80</v>
      </c>
      <c r="G5" s="31">
        <f>5*20*4000000/22</f>
        <v>18181818.181818184</v>
      </c>
    </row>
    <row r="6" spans="2:7" x14ac:dyDescent="0.3">
      <c r="B6" s="5" t="s">
        <v>84</v>
      </c>
      <c r="C6" s="38">
        <f>3.38*365*4000</f>
        <v>4934800</v>
      </c>
      <c r="F6" s="5" t="s">
        <v>6</v>
      </c>
      <c r="G6" s="31">
        <f>8*1400000*91/22</f>
        <v>46327272.727272727</v>
      </c>
    </row>
    <row r="7" spans="2:7" x14ac:dyDescent="0.3">
      <c r="B7" s="5" t="s">
        <v>83</v>
      </c>
      <c r="C7" s="39">
        <f>392*12*4000</f>
        <v>18816000</v>
      </c>
      <c r="F7" s="5" t="s">
        <v>81</v>
      </c>
      <c r="G7" s="31">
        <f>8*1400000*23/22</f>
        <v>11709090.909090908</v>
      </c>
    </row>
    <row r="8" spans="2:7" x14ac:dyDescent="0.3">
      <c r="B8" s="5" t="s">
        <v>85</v>
      </c>
      <c r="C8" s="39">
        <f>238*12*4000</f>
        <v>11424000</v>
      </c>
      <c r="F8" s="21" t="s">
        <v>82</v>
      </c>
      <c r="G8" s="31">
        <f>5*6000000*18/22</f>
        <v>24545454.545454547</v>
      </c>
    </row>
    <row r="9" spans="2:7" x14ac:dyDescent="0.3">
      <c r="B9" s="3" t="s">
        <v>13</v>
      </c>
      <c r="C9" s="26">
        <f>SUM(C4:C8)</f>
        <v>60174800</v>
      </c>
      <c r="F9" s="25" t="s">
        <v>79</v>
      </c>
      <c r="G9" s="31">
        <f>5*4000000*4/22</f>
        <v>3636363.6363636362</v>
      </c>
    </row>
    <row r="10" spans="2:7" x14ac:dyDescent="0.3">
      <c r="F10" s="5" t="s">
        <v>7</v>
      </c>
      <c r="G10" s="31">
        <f>5*1400000*5/22</f>
        <v>1590909.0909090908</v>
      </c>
    </row>
    <row r="11" spans="2:7" ht="15" thickBot="1" x14ac:dyDescent="0.35">
      <c r="B11" s="45" t="s">
        <v>14</v>
      </c>
      <c r="C11" s="46"/>
      <c r="F11" s="3" t="s">
        <v>13</v>
      </c>
      <c r="G11" s="26">
        <f>SUM(G4:G10)</f>
        <v>357491194.20090914</v>
      </c>
    </row>
    <row r="12" spans="2:7" ht="15.6" thickTop="1" thickBot="1" x14ac:dyDescent="0.35">
      <c r="B12" s="8" t="s">
        <v>3</v>
      </c>
      <c r="C12" s="20" t="s">
        <v>65</v>
      </c>
    </row>
    <row r="13" spans="2:7" ht="15" thickTop="1" x14ac:dyDescent="0.3">
      <c r="B13" s="4" t="s">
        <v>10</v>
      </c>
      <c r="C13" s="38">
        <v>60000000</v>
      </c>
    </row>
    <row r="14" spans="2:7" x14ac:dyDescent="0.3">
      <c r="B14" s="5" t="s">
        <v>11</v>
      </c>
      <c r="C14" s="38">
        <v>20000000</v>
      </c>
    </row>
    <row r="15" spans="2:7" x14ac:dyDescent="0.3">
      <c r="B15" s="5" t="s">
        <v>12</v>
      </c>
      <c r="C15" s="38">
        <v>20000000</v>
      </c>
    </row>
    <row r="16" spans="2:7" ht="21" customHeight="1" x14ac:dyDescent="0.3">
      <c r="B16" s="3" t="s">
        <v>13</v>
      </c>
      <c r="C16" s="26">
        <f>SUM(C13:C15)</f>
        <v>100000000</v>
      </c>
    </row>
  </sheetData>
  <mergeCells count="3">
    <mergeCell ref="B2:C2"/>
    <mergeCell ref="B11:C11"/>
    <mergeCell ref="F2:G2"/>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B0D5B-0895-44FF-ABA0-57CCBB5D0784}">
  <dimension ref="B2:K15"/>
  <sheetViews>
    <sheetView tabSelected="1" workbookViewId="0">
      <selection activeCell="H15" sqref="H15"/>
    </sheetView>
  </sheetViews>
  <sheetFormatPr baseColWidth="10" defaultColWidth="8.88671875" defaultRowHeight="14.4" x14ac:dyDescent="0.3"/>
  <cols>
    <col min="3" max="5" width="17.21875" bestFit="1" customWidth="1"/>
    <col min="6" max="6" width="16.44140625" customWidth="1"/>
    <col min="8" max="8" width="14.109375" bestFit="1" customWidth="1"/>
    <col min="9" max="9" width="15.109375" bestFit="1" customWidth="1"/>
    <col min="11" max="11" width="9.21875" bestFit="1" customWidth="1"/>
  </cols>
  <sheetData>
    <row r="2" spans="2:11" ht="21" customHeight="1" thickBot="1" x14ac:dyDescent="0.35">
      <c r="B2" s="49" t="s">
        <v>16</v>
      </c>
      <c r="C2" s="49"/>
      <c r="D2" s="49"/>
      <c r="E2" s="49"/>
      <c r="F2" s="49"/>
    </row>
    <row r="3" spans="2:11" ht="30" thickTop="1" thickBot="1" x14ac:dyDescent="0.35">
      <c r="B3" s="9" t="s">
        <v>0</v>
      </c>
      <c r="C3" s="10" t="s">
        <v>66</v>
      </c>
      <c r="D3" s="10" t="s">
        <v>67</v>
      </c>
      <c r="E3" s="10" t="s">
        <v>68</v>
      </c>
      <c r="F3" s="10" t="s">
        <v>69</v>
      </c>
    </row>
    <row r="4" spans="2:11" ht="21" customHeight="1" thickTop="1" x14ac:dyDescent="0.3">
      <c r="B4" s="11">
        <v>0</v>
      </c>
      <c r="C4" s="12">
        <v>0</v>
      </c>
      <c r="D4" s="12">
        <f>-'Costos y Beneficios'!G11</f>
        <v>-357491194.20090914</v>
      </c>
      <c r="E4" s="13">
        <f>SUM(C4:D4)</f>
        <v>-357491194.20090914</v>
      </c>
      <c r="F4" s="12">
        <f>E4</f>
        <v>-357491194.20090914</v>
      </c>
      <c r="H4" s="6" t="s">
        <v>17</v>
      </c>
      <c r="I4" s="18">
        <v>5.0000000000000001E-4</v>
      </c>
      <c r="K4" s="15"/>
    </row>
    <row r="5" spans="2:11" ht="21" customHeight="1" x14ac:dyDescent="0.3">
      <c r="B5" s="2">
        <v>1</v>
      </c>
      <c r="C5" s="13">
        <f>'Costos y Beneficios'!$C$16</f>
        <v>100000000</v>
      </c>
      <c r="D5" s="13">
        <f>-'Costos y Beneficios'!$C$9</f>
        <v>-60174800</v>
      </c>
      <c r="E5" s="13">
        <f>SUM(C5:D5)</f>
        <v>39825200</v>
      </c>
      <c r="F5" s="13">
        <f>F4+E5</f>
        <v>-317665994.20090914</v>
      </c>
      <c r="H5" s="6" t="s">
        <v>1</v>
      </c>
      <c r="I5" s="14">
        <f>NPV(I4,E5:E13)+E4</f>
        <v>41179.127606451511</v>
      </c>
      <c r="K5" s="15"/>
    </row>
    <row r="6" spans="2:11" ht="21" customHeight="1" x14ac:dyDescent="0.3">
      <c r="B6" s="2">
        <v>2</v>
      </c>
      <c r="C6" s="13">
        <f>'Costos y Beneficios'!$C$16</f>
        <v>100000000</v>
      </c>
      <c r="D6" s="13">
        <f>-'Costos y Beneficios'!$C$9</f>
        <v>-60174800</v>
      </c>
      <c r="E6" s="13">
        <f t="shared" ref="E6:E11" si="0">SUM(C6:D6)</f>
        <v>39825200</v>
      </c>
      <c r="F6" s="13">
        <f t="shared" ref="F6:F11" si="1">F5+E6</f>
        <v>-277840794.20090914</v>
      </c>
      <c r="H6" s="6" t="s">
        <v>2</v>
      </c>
      <c r="I6" s="18">
        <f>IRR(E4:E13)</f>
        <v>5.2306402542479091E-4</v>
      </c>
      <c r="K6" s="15"/>
    </row>
    <row r="7" spans="2:11" ht="21" customHeight="1" x14ac:dyDescent="0.3">
      <c r="B7" s="2">
        <v>3</v>
      </c>
      <c r="C7" s="13">
        <f>'Costos y Beneficios'!$C$16</f>
        <v>100000000</v>
      </c>
      <c r="D7" s="13">
        <f>-'Costos y Beneficios'!$C$9</f>
        <v>-60174800</v>
      </c>
      <c r="E7" s="13">
        <f t="shared" si="0"/>
        <v>39825200</v>
      </c>
      <c r="F7" s="13">
        <f t="shared" si="1"/>
        <v>-238015594.20090914</v>
      </c>
      <c r="H7" s="6" t="s">
        <v>18</v>
      </c>
      <c r="I7" s="19">
        <f>I5/-E4</f>
        <v>1.1518920822231203E-4</v>
      </c>
      <c r="K7" s="15"/>
    </row>
    <row r="8" spans="2:11" ht="21" customHeight="1" x14ac:dyDescent="0.3">
      <c r="B8" s="2">
        <v>4</v>
      </c>
      <c r="C8" s="13">
        <f>'Costos y Beneficios'!$C$16</f>
        <v>100000000</v>
      </c>
      <c r="D8" s="13">
        <f>-'Costos y Beneficios'!$C$9</f>
        <v>-60174800</v>
      </c>
      <c r="E8" s="13">
        <f t="shared" si="0"/>
        <v>39825200</v>
      </c>
      <c r="F8" s="13">
        <f t="shared" si="1"/>
        <v>-198190394.20090914</v>
      </c>
      <c r="H8" s="6" t="s">
        <v>19</v>
      </c>
      <c r="I8" s="17">
        <v>9</v>
      </c>
      <c r="J8" s="7" t="s">
        <v>20</v>
      </c>
      <c r="K8" s="15"/>
    </row>
    <row r="9" spans="2:11" ht="21" customHeight="1" x14ac:dyDescent="0.3">
      <c r="B9" s="2">
        <v>5</v>
      </c>
      <c r="C9" s="13">
        <f>'Costos y Beneficios'!$C$16</f>
        <v>100000000</v>
      </c>
      <c r="D9" s="13">
        <f>-'Costos y Beneficios'!$C$9</f>
        <v>-60174800</v>
      </c>
      <c r="E9" s="13">
        <f t="shared" si="0"/>
        <v>39825200</v>
      </c>
      <c r="F9" s="13">
        <f t="shared" si="1"/>
        <v>-158365194.20090914</v>
      </c>
      <c r="K9" s="15"/>
    </row>
    <row r="10" spans="2:11" ht="21" customHeight="1" x14ac:dyDescent="0.3">
      <c r="B10" s="2">
        <v>6</v>
      </c>
      <c r="C10" s="13">
        <f>'Costos y Beneficios'!$C$16</f>
        <v>100000000</v>
      </c>
      <c r="D10" s="13">
        <f>-'Costos y Beneficios'!$C$9</f>
        <v>-60174800</v>
      </c>
      <c r="E10" s="13">
        <f t="shared" si="0"/>
        <v>39825200</v>
      </c>
      <c r="F10" s="40">
        <f t="shared" si="1"/>
        <v>-118539994.20090914</v>
      </c>
      <c r="K10" s="15"/>
    </row>
    <row r="11" spans="2:11" ht="21" customHeight="1" x14ac:dyDescent="0.3">
      <c r="B11" s="2">
        <v>7</v>
      </c>
      <c r="C11" s="13">
        <f>'Costos y Beneficios'!$C$16</f>
        <v>100000000</v>
      </c>
      <c r="D11" s="13">
        <f>-'Costos y Beneficios'!$C$9</f>
        <v>-60174800</v>
      </c>
      <c r="E11" s="13">
        <f t="shared" si="0"/>
        <v>39825200</v>
      </c>
      <c r="F11" s="16">
        <f t="shared" si="1"/>
        <v>-78714794.200909138</v>
      </c>
      <c r="K11" s="15"/>
    </row>
    <row r="12" spans="2:11" ht="21" customHeight="1" x14ac:dyDescent="0.3">
      <c r="B12" s="2">
        <v>8</v>
      </c>
      <c r="C12" s="13">
        <f>'Costos y Beneficios'!$C$16</f>
        <v>100000000</v>
      </c>
      <c r="D12" s="13">
        <f>-'Costos y Beneficios'!$C$9</f>
        <v>-60174800</v>
      </c>
      <c r="E12" s="13">
        <f t="shared" ref="E12" si="2">SUM(C12:D12)</f>
        <v>39825200</v>
      </c>
      <c r="F12" s="16">
        <f t="shared" ref="F12" si="3">F11+E12</f>
        <v>-38889594.200909138</v>
      </c>
      <c r="K12" s="15"/>
    </row>
    <row r="13" spans="2:11" ht="21" customHeight="1" x14ac:dyDescent="0.3">
      <c r="B13" s="2">
        <v>9</v>
      </c>
      <c r="C13" s="13">
        <f>'Costos y Beneficios'!$C$16</f>
        <v>100000000</v>
      </c>
      <c r="D13" s="13">
        <f>-'Costos y Beneficios'!$C$9</f>
        <v>-60174800</v>
      </c>
      <c r="E13" s="13">
        <f t="shared" ref="E13" si="4">SUM(C13:D13)</f>
        <v>39825200</v>
      </c>
      <c r="F13" s="41">
        <f t="shared" ref="F13" si="5">F12+E13</f>
        <v>935605.79909086227</v>
      </c>
      <c r="K13" s="15"/>
    </row>
    <row r="15" spans="2:11" x14ac:dyDescent="0.3">
      <c r="K15" s="15"/>
    </row>
  </sheetData>
  <mergeCells count="1">
    <mergeCell ref="B2:F2"/>
  </mergeCells>
  <pageMargins left="0.7" right="0.7" top="0.75" bottom="0.75" header="0.3" footer="0.3"/>
  <pageSetup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Presupuesto de adquisiciones</vt:lpstr>
      <vt:lpstr>Costos y Beneficios</vt:lpstr>
      <vt:lpstr>Flujo de Caja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Cruz</cp:lastModifiedBy>
  <dcterms:created xsi:type="dcterms:W3CDTF">2025-10-13T18:38:23Z</dcterms:created>
  <dcterms:modified xsi:type="dcterms:W3CDTF">2025-12-01T20:25:05Z</dcterms:modified>
</cp:coreProperties>
</file>