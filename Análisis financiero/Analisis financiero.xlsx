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mc:AlternateContent xmlns:mc="http://schemas.openxmlformats.org/markup-compatibility/2006">
    <mc:Choice Requires="x15">
      <x15ac:absPath xmlns:x15ac="http://schemas.microsoft.com/office/spreadsheetml/2010/11/ac" url="G:\Universidad\Trabajos_Mecatronica\9_Semestre\APM\INFERA\Análisis financiero\"/>
    </mc:Choice>
  </mc:AlternateContent>
  <xr:revisionPtr revIDLastSave="0" documentId="13_ncr:1_{3A3D59C8-E902-4FAE-91B3-6142C77F5AD7}" xr6:coauthVersionLast="47" xr6:coauthVersionMax="47" xr10:uidLastSave="{00000000-0000-0000-0000-000000000000}"/>
  <bookViews>
    <workbookView xWindow="-108" yWindow="-108" windowWidth="23256" windowHeight="12456" activeTab="2" xr2:uid="{00000000-000D-0000-FFFF-FFFF00000000}"/>
  </bookViews>
  <sheets>
    <sheet name="Presupuesto de adquisiciones" sheetId="3" r:id="rId1"/>
    <sheet name="Costos y Beneficios" sheetId="5" r:id="rId2"/>
    <sheet name="Flujo de Caja" sheetId="6" r:id="rId3"/>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8" i="6" l="1"/>
  <c r="I5" i="6"/>
  <c r="C14" i="6"/>
  <c r="E14" i="6" s="1"/>
  <c r="F14" i="6" s="1"/>
  <c r="F15" i="6" s="1"/>
  <c r="F16" i="6" s="1"/>
  <c r="F17" i="6" s="1"/>
  <c r="F18" i="6" s="1"/>
  <c r="F19" i="6" s="1"/>
  <c r="D14" i="6"/>
  <c r="C15" i="6"/>
  <c r="D15" i="6"/>
  <c r="E15" i="6"/>
  <c r="C16" i="6"/>
  <c r="D16" i="6"/>
  <c r="E16" i="6" s="1"/>
  <c r="C17" i="6"/>
  <c r="D17" i="6"/>
  <c r="E17" i="6"/>
  <c r="C18" i="6"/>
  <c r="D18" i="6"/>
  <c r="E18" i="6" s="1"/>
  <c r="C19" i="6"/>
  <c r="D19" i="6"/>
  <c r="E19" i="6"/>
  <c r="G4" i="5"/>
  <c r="I24" i="3"/>
  <c r="I23" i="3"/>
  <c r="I22" i="3"/>
  <c r="I21" i="3" l="1"/>
  <c r="C9" i="5"/>
  <c r="C8" i="5"/>
  <c r="C7" i="5"/>
  <c r="G9" i="5"/>
  <c r="G8" i="5"/>
  <c r="G7" i="5"/>
  <c r="G6" i="5"/>
  <c r="G10" i="5"/>
  <c r="C6" i="5" l="1"/>
  <c r="G5" i="5"/>
  <c r="E18" i="3" l="1"/>
  <c r="H18" i="3" s="1"/>
  <c r="I18" i="3" s="1"/>
  <c r="E17" i="3"/>
  <c r="H17" i="3" s="1"/>
  <c r="I17" i="3" s="1"/>
  <c r="E16" i="3"/>
  <c r="H16" i="3" s="1"/>
  <c r="I16" i="3" s="1"/>
  <c r="E15" i="3"/>
  <c r="H15" i="3" s="1"/>
  <c r="I15" i="3" s="1"/>
  <c r="E14" i="3"/>
  <c r="H14" i="3" s="1"/>
  <c r="I14" i="3" s="1"/>
  <c r="E13" i="3"/>
  <c r="H13" i="3" s="1"/>
  <c r="I13" i="3" s="1"/>
  <c r="E12" i="3"/>
  <c r="E11" i="3"/>
  <c r="H11" i="3" s="1"/>
  <c r="I11" i="3" s="1"/>
  <c r="H19" i="3"/>
  <c r="I19" i="3" s="1"/>
  <c r="F20" i="3"/>
  <c r="E20" i="3"/>
  <c r="G20" i="3" s="1"/>
  <c r="F10" i="3"/>
  <c r="E10" i="3"/>
  <c r="G10" i="3" s="1"/>
  <c r="F9" i="3"/>
  <c r="E9" i="3"/>
  <c r="F8" i="3"/>
  <c r="E8" i="3"/>
  <c r="G8" i="3" s="1"/>
  <c r="H20" i="3" l="1"/>
  <c r="I20" i="3" s="1"/>
  <c r="H12" i="3"/>
  <c r="I12" i="3" s="1"/>
  <c r="G9" i="3"/>
  <c r="H10" i="3"/>
  <c r="I10" i="3" s="1"/>
  <c r="H8" i="3"/>
  <c r="I8" i="3" s="1"/>
  <c r="C16" i="5"/>
  <c r="C6" i="6" l="1"/>
  <c r="C5" i="6"/>
  <c r="C7" i="6"/>
  <c r="C8" i="6"/>
  <c r="C9" i="6"/>
  <c r="C10" i="6"/>
  <c r="C11" i="6"/>
  <c r="C12" i="6"/>
  <c r="C13" i="6"/>
  <c r="H9" i="3"/>
  <c r="I9" i="3" s="1"/>
  <c r="G11" i="5" s="1"/>
  <c r="D8" i="6" l="1"/>
  <c r="E8" i="6" s="1"/>
  <c r="D9" i="6"/>
  <c r="E9" i="6" s="1"/>
  <c r="D10" i="6"/>
  <c r="E10" i="6" s="1"/>
  <c r="D6" i="6"/>
  <c r="E6" i="6" s="1"/>
  <c r="D12" i="6"/>
  <c r="E12" i="6" s="1"/>
  <c r="D13" i="6"/>
  <c r="E13" i="6" s="1"/>
  <c r="D7" i="6"/>
  <c r="E7" i="6" s="1"/>
  <c r="D11" i="6"/>
  <c r="E11" i="6" s="1"/>
  <c r="D5" i="6"/>
  <c r="E5" i="6" s="1"/>
  <c r="D4" i="6"/>
  <c r="E4" i="6" s="1"/>
  <c r="I7" i="6" l="1"/>
  <c r="I6" i="6"/>
  <c r="F4" i="6"/>
  <c r="F5" i="6" s="1"/>
  <c r="F6" i="6" s="1"/>
  <c r="F7" i="6" s="1"/>
  <c r="F8" i="6" s="1"/>
  <c r="F9" i="6" s="1"/>
  <c r="F10" i="6" s="1"/>
  <c r="F11" i="6" s="1"/>
  <c r="F12" i="6" s="1"/>
  <c r="F13" i="6" s="1"/>
</calcChain>
</file>

<file path=xl/sharedStrings.xml><?xml version="1.0" encoding="utf-8"?>
<sst xmlns="http://schemas.openxmlformats.org/spreadsheetml/2006/main" count="103" uniqueCount="95">
  <si>
    <t>Año</t>
  </si>
  <si>
    <t>VPN</t>
  </si>
  <si>
    <t>TIR</t>
  </si>
  <si>
    <t>Concepto</t>
  </si>
  <si>
    <t>Descripción breve</t>
  </si>
  <si>
    <t>Robot de 6 ejes para manipulación y ensamblaje.</t>
  </si>
  <si>
    <t>Reorganización de planta</t>
  </si>
  <si>
    <t>Capacitación y puesta en marcha</t>
  </si>
  <si>
    <t>Mantenimiento preventivo robot y sistemas</t>
  </si>
  <si>
    <t>Energía eléctrica adicional (operación automatizada)</t>
  </si>
  <si>
    <t>Reducción de mano de obra (1-2 operarios/turno)</t>
  </si>
  <si>
    <t>Reducción de tiempos de producción y cambios</t>
  </si>
  <si>
    <t>Disminución de desperdicio de material</t>
  </si>
  <si>
    <t>Total</t>
  </si>
  <si>
    <t>Beneficios Anuales Estimados</t>
  </si>
  <si>
    <t>Total Inversión Inicial</t>
  </si>
  <si>
    <t>Flujo de Caja</t>
  </si>
  <si>
    <t>Tasa descuento</t>
  </si>
  <si>
    <t>ROI</t>
  </si>
  <si>
    <t>Payback</t>
  </si>
  <si>
    <t>(años)</t>
  </si>
  <si>
    <t>Ítem</t>
  </si>
  <si>
    <t>Cantidad</t>
  </si>
  <si>
    <t>Costo Unitario (COP)</t>
  </si>
  <si>
    <t>Impuestos</t>
  </si>
  <si>
    <t>Impuestos (COP)</t>
  </si>
  <si>
    <t>Presupuesto de Adquisiciones</t>
  </si>
  <si>
    <t>Costo Total (COP)</t>
  </si>
  <si>
    <t>Referencia</t>
  </si>
  <si>
    <t>Tarifas</t>
  </si>
  <si>
    <t>Aranceles</t>
  </si>
  <si>
    <t>Costo de Flete (COP)</t>
  </si>
  <si>
    <t>Costo del Seguro (COP)</t>
  </si>
  <si>
    <t>Seguro</t>
  </si>
  <si>
    <t>Abb Irb4600 Robot Industrial Brazo De Robot De 6 Ejes Carga Útil De 60kg - Buy Industrial Robot pick And Place 6 Axis Robot Arm Product on Alibaba.com</t>
  </si>
  <si>
    <t>Brazo robótico ABB IRB 2600 + Controlador IRC5</t>
  </si>
  <si>
    <t>Gripper PHL 50-060 SCHUNK</t>
  </si>
  <si>
    <t>Pinza neumática paralela con guía de riel perfilado.</t>
  </si>
  <si>
    <t>Ventas Pinza De Carrera Larga Phl 50-060 Schunk Pinza Neumática Guía De Riel Perfilado Buen Precio Pinza Paralela Pedido Id 1462597 - Buy Long-stroke Gripper phl 50-060 schunk Parallel Gripper schunk Gripper schunk Pneumatic Gripper Product on Alibaba.com</t>
  </si>
  <si>
    <t xml:space="preserve">Banda Transportadora </t>
  </si>
  <si>
    <t>Transportador de banda plana para movimiento de barras de acero</t>
  </si>
  <si>
    <t>Transportador De Cadena Industrial,Transportador De Banda Plana Para Entrega De Alimentos Y Bebidas,Resistente Al Calor,Aplicable En Agricultura Y Minería - Buy Stainless Steel Plate Chain Conveyor stainless Steel Conveyor Belt Chain Plate Conveyor heavy Chain-plate Conveyor Product on Alibaba.com</t>
  </si>
  <si>
    <t>PLC ControlLogix 5580 con gateway IoT</t>
  </si>
  <si>
    <t>PLC Allen-bradley 1756-L82EK</t>
  </si>
  <si>
    <t>Chasis Allen-bradley 1756-A7</t>
  </si>
  <si>
    <t>Fuente Allen-Bradley 1756-PA72</t>
  </si>
  <si>
    <t>Fuente de poder ControlLogix 5580 con rango 85-285 VAC</t>
  </si>
  <si>
    <t>Chasis BacklPlane con 7 ranuras para ControlLogix 5580</t>
  </si>
  <si>
    <t xml:space="preserve">Módulo de 16 entradas analógicas ControlLogix 5580 </t>
  </si>
  <si>
    <t xml:space="preserve">Módulo de 16 entradas digitales ControlLogix 5580 </t>
  </si>
  <si>
    <t xml:space="preserve">Módulo de 16 salidas analógicas ControlLogix 5580 </t>
  </si>
  <si>
    <t>Módulo Allen-Bradley 1756-EN3TR</t>
  </si>
  <si>
    <t>Módulo EtherNet/IP para ControlLogix 5580</t>
  </si>
  <si>
    <t>Módulo Allen-Bradley 1756-OF16</t>
  </si>
  <si>
    <t>Módulo Allen-Bradley 1756-OB16</t>
  </si>
  <si>
    <t>Módulo Allen-Bradley 1756-IF16</t>
  </si>
  <si>
    <t>Módulo Allen-Bradley 1756-IB16</t>
  </si>
  <si>
    <t>Sensor Lj12a3-4-z/bx</t>
  </si>
  <si>
    <t>Sensor Inductivo de Proximidad DC 6-36v</t>
  </si>
  <si>
    <t>Sensor Inductivo Proximidad, Lj12a3-4-z/bx, Npn Dc 6-36v 4mm | Cuotas sin interés</t>
  </si>
  <si>
    <t>Cortadora de tubos de acero inoxidable semiautomática</t>
  </si>
  <si>
    <t>Cortadora semiautomática</t>
  </si>
  <si>
    <t>Venta De Fábrica,Máquina Cortadora De Tubos Hidráulica Eléctrica,Cortadora De Tubos De Acero Inoxidable Semiautomática,Máquina Cortadora De Tubos Portátil - Buy Pipe Cutting Machine pipe Cutter laser Tube Cutting Machine laser Pipe Cutting Machine tube Laser Cutting Machine tube Cutting Machine pipe Laser Cutting Machine pvc Pipe Cutter laser Pipe Cutter pipe Cutter Machine automatic Pipe Cutting Machine paper Tube Cutting Machine heavy Duty Laser Tube Cutting Machine exhaust Pipe Cutter pipe Cutter Tool fiber Laser Tube Cutting Machine Product on Alibaba.com</t>
  </si>
  <si>
    <t>Costos Operativos Anuales (OPEX)</t>
  </si>
  <si>
    <t>Costos de Capital (CAPEX)</t>
  </si>
  <si>
    <t>Costo estimado (COP)</t>
  </si>
  <si>
    <t>Ingresos/Beneficios (COP)</t>
  </si>
  <si>
    <t>Costos Operativos (COP)</t>
  </si>
  <si>
    <t>Flujo Neto Anual (COP)</t>
  </si>
  <si>
    <t>Flujo Acumulado (COP)</t>
  </si>
  <si>
    <t>AB 1756-L82EK ControlLogix 5580 Controller New Expedited Shipping | eBay</t>
  </si>
  <si>
    <t xml:space="preserve">Módulo de 16 salidas digitales ControlLogix 5580 </t>
  </si>
  <si>
    <t>New AB 1756-A7 Genuine 7 Slot ControlLogix Chassis Allen-Bradley 1756-A7 | eBay</t>
  </si>
  <si>
    <t>New Genuine Allen Bradley 1756-IB16 / A ControlLogix Input Module 1756 IB16 | eBay</t>
  </si>
  <si>
    <t>Allen-Bradley 1756-IF16 SER A ControlLogix 16 Pt Input Module New 1756IF16 ! AB | eBay</t>
  </si>
  <si>
    <t>Allen Bradley 1756-OB16D /A ControlLogix PLC DC Ouput Module Factory Sealed 2022 | eBay</t>
  </si>
  <si>
    <t>Allen-Bradley 1756-IA16 New Sealed SER A ControlLogix 16Pt Input Module 1756IA16 | eBay</t>
  </si>
  <si>
    <t>1 PCS New Surplus Allen-Bradley 1756-EN3TR /B EtherNet/IP Module AB 1756EN3TR US | eBay</t>
  </si>
  <si>
    <t>Adquisiciones</t>
  </si>
  <si>
    <t>Integración software MES</t>
  </si>
  <si>
    <t xml:space="preserve">Estudio Técnico </t>
  </si>
  <si>
    <t>Instalación de Equipos</t>
  </si>
  <si>
    <t>Programación Celda Robotizada</t>
  </si>
  <si>
    <t>Licencia Studio 5000</t>
  </si>
  <si>
    <t>Mantenimiento servidores MQTT de Azure</t>
  </si>
  <si>
    <t>Licencia Siemens NX</t>
  </si>
  <si>
    <t>Gabinete de Control</t>
  </si>
  <si>
    <t>Gabinete Atlantic3 720x520x250 Ip66</t>
  </si>
  <si>
    <t>Gabinetes eléctricos y tableros eléctricos | Edemco Buena energía</t>
  </si>
  <si>
    <t>Breaker de Protección</t>
  </si>
  <si>
    <t>Breaker Schneider Acti9 Ic60n 2x16 A</t>
  </si>
  <si>
    <t>Breaker Schneider Acti9 Ic60n 2x16amperios Montaje En Riel | Cuotas sin interés</t>
  </si>
  <si>
    <t>Cableado Eléctrico</t>
  </si>
  <si>
    <t>Cableado de Instrumentación y de Potencia</t>
  </si>
  <si>
    <t>Indicadores Económicos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</si>
</sst>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quot;$&quot;#,##0.00_);[Red]\(&quot;$&quot;#,##0.00\)"/>
    <numFmt numFmtId="165" formatCode="_(&quot;$&quot;* #,##0.00_);_(&quot;$&quot;* \(#,##0.00\);_(&quot;$&quot;* &quot;-&quot;??_);_(@_)"/>
    <numFmt numFmtId="166" formatCode="&quot;$&quot;\ #,##0.00"/>
    <numFmt numFmtId="167" formatCode="0.0%"/>
  </numFmts>
  <fonts count="4" x14ac:knownFonts="1">
    <font>
      <sz val="11"/>
      <color theme="1"/>
      <name val="Calibri"/>
      <family val="2"/>
      <scheme val="minor"/>
    </font>
    <font>
      <sz val="11"/>
      <color theme="1"/>
      <name val="Calibri"/>
      <family val="2"/>
      <scheme val="minor"/>
    </font>
    <font>
      <b/>
      <sz val="11"/>
      <color theme="1"/>
      <name val="Calibri"/>
      <family val="2"/>
      <scheme val="minor"/>
    </font>
    <font>
      <u/>
      <sz val="11"/>
      <color theme="10"/>
      <name val="Calibri"/>
      <family val="2"/>
      <scheme val="minor"/>
    </font>
  </fonts>
  <fills count="5">
    <fill>
      <patternFill patternType="none"/>
    </fill>
    <fill>
      <patternFill patternType="gray125"/>
    </fill>
    <fill>
      <patternFill patternType="solid">
        <fgColor rgb="FFFFFF00"/>
        <bgColor indexed="64"/>
      </patternFill>
    </fill>
    <fill>
      <patternFill patternType="solid">
        <fgColor theme="4" tint="0.79998168889431442"/>
        <bgColor indexed="64"/>
      </patternFill>
    </fill>
    <fill>
      <patternFill patternType="solid">
        <fgColor theme="0"/>
        <bgColor indexed="64"/>
      </patternFill>
    </fill>
  </fills>
  <borders count="13">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style="thin">
        <color auto="1"/>
      </bottom>
      <diagonal/>
    </border>
    <border>
      <left style="thin">
        <color auto="1"/>
      </left>
      <right style="thin">
        <color auto="1"/>
      </right>
      <top style="thin">
        <color auto="1"/>
      </top>
      <bottom style="double">
        <color indexed="64"/>
      </bottom>
      <diagonal/>
    </border>
    <border>
      <left style="thin">
        <color indexed="64"/>
      </left>
      <right/>
      <top/>
      <bottom style="double">
        <color indexed="64"/>
      </bottom>
      <diagonal/>
    </border>
    <border>
      <left/>
      <right style="thin">
        <color indexed="64"/>
      </right>
      <top/>
      <bottom style="double">
        <color indexed="64"/>
      </bottom>
      <diagonal/>
    </border>
    <border>
      <left style="thin">
        <color indexed="64"/>
      </left>
      <right/>
      <top style="thin">
        <color indexed="64"/>
      </top>
      <bottom style="double">
        <color indexed="64"/>
      </bottom>
      <diagonal/>
    </border>
    <border>
      <left/>
      <right style="thin">
        <color indexed="64"/>
      </right>
      <top style="thin">
        <color indexed="64"/>
      </top>
      <bottom style="double">
        <color indexed="64"/>
      </bottom>
      <diagonal/>
    </border>
    <border>
      <left style="thin">
        <color auto="1"/>
      </left>
      <right style="thin">
        <color auto="1"/>
      </right>
      <top/>
      <bottom style="double">
        <color indexed="64"/>
      </bottom>
      <diagonal/>
    </border>
    <border>
      <left/>
      <right style="thin">
        <color auto="1"/>
      </right>
      <top style="thin">
        <color auto="1"/>
      </top>
      <bottom/>
      <diagonal/>
    </border>
    <border>
      <left style="thin">
        <color indexed="64"/>
      </left>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s>
  <cellStyleXfs count="4">
    <xf numFmtId="0" fontId="0" fillId="0" borderId="0"/>
    <xf numFmtId="165" fontId="1" fillId="0" borderId="0" applyFont="0" applyFill="0" applyBorder="0" applyAlignment="0" applyProtection="0"/>
    <xf numFmtId="9" fontId="1" fillId="0" borderId="0" applyFont="0" applyFill="0" applyBorder="0" applyAlignment="0" applyProtection="0"/>
    <xf numFmtId="0" fontId="3" fillId="0" borderId="0" applyNumberFormat="0" applyFill="0" applyBorder="0" applyAlignment="0" applyProtection="0"/>
  </cellStyleXfs>
  <cellXfs count="55">
    <xf numFmtId="0" fontId="0" fillId="0" borderId="0" xfId="0"/>
    <xf numFmtId="0" fontId="0" fillId="0" borderId="0" xfId="0" applyAlignment="1">
      <alignment horizontal="center" vertical="center" wrapText="1"/>
    </xf>
    <xf numFmtId="0" fontId="0" fillId="0" borderId="1" xfId="0" applyBorder="1" applyAlignment="1">
      <alignment vertical="center"/>
    </xf>
    <xf numFmtId="0" fontId="2" fillId="0" borderId="1" xfId="0" applyFont="1" applyBorder="1" applyAlignment="1">
      <alignment horizontal="center" vertical="center" wrapText="1"/>
    </xf>
    <xf numFmtId="0" fontId="0" fillId="0" borderId="2" xfId="0" applyBorder="1" applyAlignment="1">
      <alignment horizontal="center" vertical="center" wrapText="1"/>
    </xf>
    <xf numFmtId="0" fontId="0" fillId="0" borderId="1" xfId="0" applyBorder="1" applyAlignment="1">
      <alignment horizontal="center" vertical="center" wrapText="1"/>
    </xf>
    <xf numFmtId="0" fontId="2" fillId="0" borderId="1" xfId="0" applyFont="1" applyBorder="1" applyAlignment="1">
      <alignment horizontal="center" vertical="center"/>
    </xf>
    <xf numFmtId="0" fontId="0" fillId="0" borderId="0" xfId="0" applyAlignment="1">
      <alignment horizontal="center" vertical="center"/>
    </xf>
    <xf numFmtId="0" fontId="2" fillId="0" borderId="4" xfId="0" applyFont="1" applyBorder="1" applyAlignment="1">
      <alignment horizontal="center" vertical="center"/>
    </xf>
    <xf numFmtId="0" fontId="2" fillId="0" borderId="8" xfId="0" applyFont="1" applyBorder="1" applyAlignment="1">
      <alignment horizontal="center" vertical="center"/>
    </xf>
    <xf numFmtId="0" fontId="2" fillId="0" borderId="8" xfId="0" applyFont="1" applyBorder="1" applyAlignment="1">
      <alignment horizontal="center" vertical="center" wrapText="1"/>
    </xf>
    <xf numFmtId="0" fontId="0" fillId="0" borderId="2" xfId="0" applyBorder="1" applyAlignment="1">
      <alignment vertical="center"/>
    </xf>
    <xf numFmtId="165" fontId="0" fillId="0" borderId="2" xfId="1" applyFont="1" applyBorder="1" applyAlignment="1">
      <alignment vertical="center"/>
    </xf>
    <xf numFmtId="165" fontId="0" fillId="0" borderId="1" xfId="1" applyFont="1" applyBorder="1" applyAlignment="1">
      <alignment vertical="center"/>
    </xf>
    <xf numFmtId="164" fontId="0" fillId="0" borderId="1" xfId="0" applyNumberFormat="1" applyBorder="1" applyAlignment="1">
      <alignment horizontal="center" vertical="center"/>
    </xf>
    <xf numFmtId="165" fontId="0" fillId="0" borderId="0" xfId="0" applyNumberFormat="1"/>
    <xf numFmtId="165" fontId="1" fillId="0" borderId="1" xfId="1" applyFont="1" applyFill="1" applyBorder="1" applyAlignment="1">
      <alignment vertical="center"/>
    </xf>
    <xf numFmtId="2" fontId="0" fillId="0" borderId="1" xfId="0" applyNumberFormat="1" applyBorder="1" applyAlignment="1">
      <alignment horizontal="center" vertical="center"/>
    </xf>
    <xf numFmtId="10" fontId="0" fillId="0" borderId="1" xfId="0" applyNumberFormat="1" applyBorder="1" applyAlignment="1">
      <alignment horizontal="center" vertical="center"/>
    </xf>
    <xf numFmtId="10" fontId="0" fillId="0" borderId="1" xfId="2" applyNumberFormat="1" applyFont="1" applyBorder="1" applyAlignment="1">
      <alignment horizontal="center" vertical="center"/>
    </xf>
    <xf numFmtId="0" fontId="2" fillId="0" borderId="5" xfId="0" applyFont="1" applyBorder="1" applyAlignment="1">
      <alignment horizontal="center" vertical="center" wrapText="1"/>
    </xf>
    <xf numFmtId="0" fontId="0" fillId="0" borderId="1" xfId="0" applyBorder="1" applyAlignment="1">
      <alignment horizontal="center"/>
    </xf>
    <xf numFmtId="166" fontId="0" fillId="0" borderId="1" xfId="0" applyNumberFormat="1" applyBorder="1" applyAlignment="1">
      <alignment horizontal="center"/>
    </xf>
    <xf numFmtId="0" fontId="0" fillId="0" borderId="2" xfId="0" applyBorder="1" applyAlignment="1">
      <alignment horizontal="center"/>
    </xf>
    <xf numFmtId="0" fontId="0" fillId="0" borderId="0" xfId="0" applyAlignment="1">
      <alignment horizontal="center"/>
    </xf>
    <xf numFmtId="0" fontId="0" fillId="0" borderId="1" xfId="0" applyBorder="1" applyAlignment="1">
      <alignment horizontal="center" vertical="center"/>
    </xf>
    <xf numFmtId="166" fontId="2" fillId="0" borderId="1" xfId="0" applyNumberFormat="1" applyFont="1" applyBorder="1" applyAlignment="1">
      <alignment horizontal="center" vertical="center" wrapText="1"/>
    </xf>
    <xf numFmtId="166" fontId="2" fillId="0" borderId="2" xfId="0" applyNumberFormat="1" applyFont="1" applyBorder="1" applyAlignment="1">
      <alignment horizontal="center" vertical="center" wrapText="1"/>
    </xf>
    <xf numFmtId="0" fontId="3" fillId="0" borderId="1" xfId="3" applyBorder="1" applyAlignment="1">
      <alignment horizontal="center" vertical="center"/>
    </xf>
    <xf numFmtId="0" fontId="0" fillId="0" borderId="1" xfId="0" applyBorder="1" applyAlignment="1">
      <alignment horizontal="center" wrapText="1"/>
    </xf>
    <xf numFmtId="0" fontId="3" fillId="0" borderId="1" xfId="3" applyBorder="1" applyAlignment="1">
      <alignment horizontal="center"/>
    </xf>
    <xf numFmtId="166" fontId="0" fillId="0" borderId="1" xfId="0" applyNumberFormat="1" applyBorder="1" applyAlignment="1">
      <alignment horizontal="center" vertical="center"/>
    </xf>
    <xf numFmtId="166" fontId="0" fillId="0" borderId="2" xfId="0" applyNumberFormat="1" applyBorder="1" applyAlignment="1">
      <alignment horizontal="center" vertical="center"/>
    </xf>
    <xf numFmtId="0" fontId="0" fillId="0" borderId="1" xfId="0" applyBorder="1"/>
    <xf numFmtId="9" fontId="0" fillId="0" borderId="1" xfId="0" applyNumberFormat="1" applyBorder="1" applyAlignment="1">
      <alignment horizontal="center"/>
    </xf>
    <xf numFmtId="0" fontId="3" fillId="0" borderId="1" xfId="3" applyBorder="1" applyAlignment="1">
      <alignment horizontal="center" vertical="center" wrapText="1"/>
    </xf>
    <xf numFmtId="167" fontId="0" fillId="0" borderId="1" xfId="0" applyNumberFormat="1" applyBorder="1" applyAlignment="1">
      <alignment horizontal="center"/>
    </xf>
    <xf numFmtId="0" fontId="0" fillId="0" borderId="2" xfId="0" applyBorder="1" applyAlignment="1">
      <alignment horizontal="center" vertical="center"/>
    </xf>
    <xf numFmtId="166" fontId="0" fillId="0" borderId="2" xfId="0" applyNumberFormat="1" applyBorder="1" applyAlignment="1">
      <alignment horizontal="center" vertical="center" wrapText="1"/>
    </xf>
    <xf numFmtId="166" fontId="0" fillId="0" borderId="1" xfId="0" applyNumberFormat="1" applyBorder="1" applyAlignment="1">
      <alignment horizontal="center" vertical="center" wrapText="1"/>
    </xf>
    <xf numFmtId="165" fontId="0" fillId="4" borderId="1" xfId="1" applyFont="1" applyFill="1" applyBorder="1" applyAlignment="1">
      <alignment vertical="center"/>
    </xf>
    <xf numFmtId="165" fontId="1" fillId="2" borderId="1" xfId="1" applyFont="1" applyFill="1" applyBorder="1" applyAlignment="1">
      <alignment vertical="center"/>
    </xf>
    <xf numFmtId="165" fontId="1" fillId="4" borderId="1" xfId="1" applyFont="1" applyFill="1" applyBorder="1" applyAlignment="1">
      <alignment vertical="center"/>
    </xf>
    <xf numFmtId="0" fontId="0" fillId="0" borderId="1" xfId="0" applyBorder="1" applyAlignment="1">
      <alignment horizontal="center"/>
    </xf>
    <xf numFmtId="0" fontId="2" fillId="3" borderId="1" xfId="0" applyFont="1" applyFill="1" applyBorder="1" applyAlignment="1">
      <alignment horizontal="center" vertical="center"/>
    </xf>
    <xf numFmtId="0" fontId="2" fillId="0" borderId="2" xfId="0" applyFont="1" applyBorder="1" applyAlignment="1">
      <alignment horizontal="center" vertical="center" wrapText="1"/>
    </xf>
    <xf numFmtId="0" fontId="2" fillId="3" borderId="6" xfId="0" applyFont="1" applyFill="1" applyBorder="1" applyAlignment="1">
      <alignment horizontal="center" vertical="center"/>
    </xf>
    <xf numFmtId="0" fontId="2" fillId="3" borderId="7" xfId="0" applyFont="1" applyFill="1" applyBorder="1" applyAlignment="1">
      <alignment horizontal="center" vertical="center"/>
    </xf>
    <xf numFmtId="0" fontId="2" fillId="3" borderId="10" xfId="0" applyFont="1" applyFill="1" applyBorder="1" applyAlignment="1">
      <alignment horizontal="center" vertical="center"/>
    </xf>
    <xf numFmtId="0" fontId="2" fillId="3" borderId="9" xfId="0" applyFont="1" applyFill="1" applyBorder="1" applyAlignment="1">
      <alignment horizontal="center" vertical="center"/>
    </xf>
    <xf numFmtId="0" fontId="2" fillId="3" borderId="3" xfId="0" applyFont="1" applyFill="1" applyBorder="1" applyAlignment="1">
      <alignment horizontal="center" vertical="center"/>
    </xf>
    <xf numFmtId="0" fontId="2" fillId="0" borderId="2" xfId="0" applyFont="1" applyBorder="1" applyAlignment="1">
      <alignment horizontal="center" vertical="center"/>
    </xf>
    <xf numFmtId="10" fontId="0" fillId="0" borderId="2" xfId="0" applyNumberFormat="1" applyBorder="1" applyAlignment="1">
      <alignment horizontal="center" vertical="center"/>
    </xf>
    <xf numFmtId="0" fontId="2" fillId="0" borderId="11" xfId="0" applyFont="1" applyBorder="1" applyAlignment="1">
      <alignment horizontal="center" vertical="center" wrapText="1"/>
    </xf>
    <xf numFmtId="0" fontId="2" fillId="0" borderId="12" xfId="0" applyFont="1" applyBorder="1" applyAlignment="1">
      <alignment horizontal="center" vertical="center" wrapText="1"/>
    </xf>
  </cellXfs>
  <cellStyles count="4">
    <cellStyle name="Hipervínculo" xfId="3" builtinId="8"/>
    <cellStyle name="Moneda" xfId="1" builtinId="4"/>
    <cellStyle name="Normal" xfId="0" builtinId="0"/>
    <cellStyle name="Porcentaje" xfId="2" builtinId="5"/>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Flujo de Caja</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1"/>
          <c:order val="0"/>
          <c:tx>
            <c:v>Beneficios</c:v>
          </c:tx>
          <c:spPr>
            <a:solidFill>
              <a:schemeClr val="accent2"/>
            </a:solidFill>
            <a:ln>
              <a:noFill/>
            </a:ln>
            <a:effectLst/>
          </c:spPr>
          <c:invertIfNegative val="0"/>
          <c:cat>
            <c:numRef>
              <c:f>'Flujo de Caja'!$B$4:$B$19</c:f>
              <c:numCache>
                <c:formatCode>General</c:formatCode>
                <c:ptCount val="16"/>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numCache>
            </c:numRef>
          </c:cat>
          <c:val>
            <c:numRef>
              <c:f>'Flujo de Caja'!$C$4:$C$19</c:f>
              <c:numCache>
                <c:formatCode>_("$"* #,##0.00_);_("$"* \(#,##0.00\);_("$"* "-"??_);_(@_)</c:formatCode>
                <c:ptCount val="16"/>
                <c:pt idx="0">
                  <c:v>0</c:v>
                </c:pt>
                <c:pt idx="1">
                  <c:v>100000000</c:v>
                </c:pt>
                <c:pt idx="2">
                  <c:v>100000000</c:v>
                </c:pt>
                <c:pt idx="3">
                  <c:v>100000000</c:v>
                </c:pt>
                <c:pt idx="4">
                  <c:v>100000000</c:v>
                </c:pt>
                <c:pt idx="5">
                  <c:v>100000000</c:v>
                </c:pt>
                <c:pt idx="6">
                  <c:v>100000000</c:v>
                </c:pt>
                <c:pt idx="7">
                  <c:v>100000000</c:v>
                </c:pt>
                <c:pt idx="8">
                  <c:v>100000000</c:v>
                </c:pt>
                <c:pt idx="9">
                  <c:v>100000000</c:v>
                </c:pt>
                <c:pt idx="10">
                  <c:v>100000000</c:v>
                </c:pt>
                <c:pt idx="11">
                  <c:v>100000000</c:v>
                </c:pt>
                <c:pt idx="12">
                  <c:v>100000000</c:v>
                </c:pt>
                <c:pt idx="13">
                  <c:v>100000000</c:v>
                </c:pt>
                <c:pt idx="14">
                  <c:v>100000000</c:v>
                </c:pt>
                <c:pt idx="15">
                  <c:v>100000000</c:v>
                </c:pt>
              </c:numCache>
            </c:numRef>
          </c:val>
          <c:extLst>
            <c:ext xmlns:c16="http://schemas.microsoft.com/office/drawing/2014/chart" uri="{C3380CC4-5D6E-409C-BE32-E72D297353CC}">
              <c16:uniqueId val="{00000001-AC86-4587-B773-696A8033DB65}"/>
            </c:ext>
          </c:extLst>
        </c:ser>
        <c:ser>
          <c:idx val="2"/>
          <c:order val="1"/>
          <c:tx>
            <c:v>Costos</c:v>
          </c:tx>
          <c:spPr>
            <a:solidFill>
              <a:schemeClr val="accent3"/>
            </a:solidFill>
            <a:ln>
              <a:noFill/>
            </a:ln>
            <a:effectLst/>
          </c:spPr>
          <c:invertIfNegative val="0"/>
          <c:cat>
            <c:numRef>
              <c:f>'Flujo de Caja'!$B$4:$B$19</c:f>
              <c:numCache>
                <c:formatCode>General</c:formatCode>
                <c:ptCount val="16"/>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numCache>
            </c:numRef>
          </c:cat>
          <c:val>
            <c:numRef>
              <c:f>'Flujo de Caja'!$D$4:$D$19</c:f>
              <c:numCache>
                <c:formatCode>_("$"* #,##0.00_);_("$"* \(#,##0.00\);_("$"* "-"??_);_(@_)</c:formatCode>
                <c:ptCount val="16"/>
                <c:pt idx="0">
                  <c:v>-357491194.20090914</c:v>
                </c:pt>
                <c:pt idx="1">
                  <c:v>-60174800</c:v>
                </c:pt>
                <c:pt idx="2">
                  <c:v>-60174800</c:v>
                </c:pt>
                <c:pt idx="3">
                  <c:v>-60174800</c:v>
                </c:pt>
                <c:pt idx="4">
                  <c:v>-60174800</c:v>
                </c:pt>
                <c:pt idx="5">
                  <c:v>-60174800</c:v>
                </c:pt>
                <c:pt idx="6">
                  <c:v>-60174800</c:v>
                </c:pt>
                <c:pt idx="7">
                  <c:v>-60174800</c:v>
                </c:pt>
                <c:pt idx="8">
                  <c:v>-60174800</c:v>
                </c:pt>
                <c:pt idx="9">
                  <c:v>-60174800</c:v>
                </c:pt>
                <c:pt idx="10">
                  <c:v>-60174800</c:v>
                </c:pt>
                <c:pt idx="11">
                  <c:v>-60174800</c:v>
                </c:pt>
                <c:pt idx="12">
                  <c:v>-60174800</c:v>
                </c:pt>
                <c:pt idx="13">
                  <c:v>-60174800</c:v>
                </c:pt>
                <c:pt idx="14">
                  <c:v>-60174800</c:v>
                </c:pt>
                <c:pt idx="15">
                  <c:v>-60174800</c:v>
                </c:pt>
              </c:numCache>
            </c:numRef>
          </c:val>
          <c:extLst>
            <c:ext xmlns:c16="http://schemas.microsoft.com/office/drawing/2014/chart" uri="{C3380CC4-5D6E-409C-BE32-E72D297353CC}">
              <c16:uniqueId val="{00000002-AC86-4587-B773-696A8033DB65}"/>
            </c:ext>
          </c:extLst>
        </c:ser>
        <c:ser>
          <c:idx val="0"/>
          <c:order val="2"/>
          <c:tx>
            <c:v>Acumulado</c:v>
          </c:tx>
          <c:spPr>
            <a:solidFill>
              <a:schemeClr val="accent1"/>
            </a:solidFill>
            <a:ln>
              <a:noFill/>
            </a:ln>
            <a:effectLst/>
          </c:spPr>
          <c:invertIfNegative val="0"/>
          <c:cat>
            <c:numRef>
              <c:f>'Flujo de Caja'!$B$4:$B$19</c:f>
              <c:numCache>
                <c:formatCode>General</c:formatCode>
                <c:ptCount val="16"/>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numCache>
            </c:numRef>
          </c:cat>
          <c:val>
            <c:numRef>
              <c:f>'Flujo de Caja'!$F$4:$F$19</c:f>
              <c:numCache>
                <c:formatCode>_("$"* #,##0.00_);_("$"* \(#,##0.00\);_("$"* "-"??_);_(@_)</c:formatCode>
                <c:ptCount val="16"/>
                <c:pt idx="0">
                  <c:v>-357491194.20090914</c:v>
                </c:pt>
                <c:pt idx="1">
                  <c:v>-317665994.20090914</c:v>
                </c:pt>
                <c:pt idx="2">
                  <c:v>-277840794.20090914</c:v>
                </c:pt>
                <c:pt idx="3">
                  <c:v>-238015594.20090914</c:v>
                </c:pt>
                <c:pt idx="4">
                  <c:v>-198190394.20090914</c:v>
                </c:pt>
                <c:pt idx="5">
                  <c:v>-158365194.20090914</c:v>
                </c:pt>
                <c:pt idx="6">
                  <c:v>-118539994.20090914</c:v>
                </c:pt>
                <c:pt idx="7">
                  <c:v>-78714794.200909138</c:v>
                </c:pt>
                <c:pt idx="8">
                  <c:v>-38889594.200909138</c:v>
                </c:pt>
                <c:pt idx="9">
                  <c:v>935605.79909086227</c:v>
                </c:pt>
                <c:pt idx="10">
                  <c:v>40760805.799090862</c:v>
                </c:pt>
                <c:pt idx="11">
                  <c:v>80586005.799090862</c:v>
                </c:pt>
                <c:pt idx="12">
                  <c:v>120411205.79909086</c:v>
                </c:pt>
                <c:pt idx="13">
                  <c:v>160236405.79909086</c:v>
                </c:pt>
                <c:pt idx="14">
                  <c:v>200061605.79909086</c:v>
                </c:pt>
                <c:pt idx="15">
                  <c:v>239886805.79909086</c:v>
                </c:pt>
              </c:numCache>
            </c:numRef>
          </c:val>
          <c:extLst>
            <c:ext xmlns:c16="http://schemas.microsoft.com/office/drawing/2014/chart" uri="{C3380CC4-5D6E-409C-BE32-E72D297353CC}">
              <c16:uniqueId val="{00000003-AC86-4587-B773-696A8033DB65}"/>
            </c:ext>
          </c:extLst>
        </c:ser>
        <c:dLbls>
          <c:showLegendKey val="0"/>
          <c:showVal val="0"/>
          <c:showCatName val="0"/>
          <c:showSerName val="0"/>
          <c:showPercent val="0"/>
          <c:showBubbleSize val="0"/>
        </c:dLbls>
        <c:gapWidth val="219"/>
        <c:overlap val="-27"/>
        <c:axId val="1970907439"/>
        <c:axId val="1970907919"/>
      </c:barChart>
      <c:catAx>
        <c:axId val="197090743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70907919"/>
        <c:crosses val="autoZero"/>
        <c:auto val="1"/>
        <c:lblAlgn val="ctr"/>
        <c:lblOffset val="100"/>
        <c:noMultiLvlLbl val="0"/>
      </c:catAx>
      <c:valAx>
        <c:axId val="1970907919"/>
        <c:scaling>
          <c:orientation val="minMax"/>
        </c:scaling>
        <c:delete val="0"/>
        <c:axPos val="l"/>
        <c:majorGridlines>
          <c:spPr>
            <a:ln w="9525" cap="flat" cmpd="sng" algn="ctr">
              <a:solidFill>
                <a:schemeClr val="tx1">
                  <a:lumMod val="15000"/>
                  <a:lumOff val="85000"/>
                </a:schemeClr>
              </a:solidFill>
              <a:round/>
            </a:ln>
            <a:effectLst/>
          </c:spPr>
        </c:majorGridlines>
        <c:numFmt formatCode="_(&quot;$&quot;* #,##0.00_);_(&quot;$&quot;* \(#,##0.00\);_(&quot;$&quot;*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709074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10</xdr:col>
      <xdr:colOff>7620</xdr:colOff>
      <xdr:row>1</xdr:row>
      <xdr:rowOff>87630</xdr:rowOff>
    </xdr:from>
    <xdr:to>
      <xdr:col>17</xdr:col>
      <xdr:colOff>289560</xdr:colOff>
      <xdr:row>10</xdr:row>
      <xdr:rowOff>240030</xdr:rowOff>
    </xdr:to>
    <xdr:graphicFrame macro="">
      <xdr:nvGraphicFramePr>
        <xdr:cNvPr id="4" name="Chart 3">
          <a:extLst>
            <a:ext uri="{FF2B5EF4-FFF2-40B4-BE49-F238E27FC236}">
              <a16:creationId xmlns:a16="http://schemas.microsoft.com/office/drawing/2014/main" id="{179A9D10-F899-FCC3-C2AD-2765003BCAA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hyperlink" Target="https://www.ebay.com/itm/127492532843?epid=21056666403&amp;itmmeta=01KBBBXSPSHMZ2N50FP5E0KMM8&amp;hash=item1daf25aa6b:g:jp0AAeSwagNpFvSz&amp;itmprp=enc%3AAQAKAAAA4NHOg0D50eDiCdi%2FfP0r02uyMcvEoandBWrmWdHsv1OPG%2BJ8PcKzPGSHBygVLxV4QnzS5ZnowIpAUmkQ%2BMl8tCLyxIBcWQOqIvHMv8derPSqhd71p%2Bg5zzopWhLXh62CGrt6P6vMJhaW8gftpFg12HgNAqZcjP8WEjVnpxwZnTjnOw69p2apNUjcfCTWLKky27J%2BmcV0bt2dDqNo7cfM95OwTtxMolN61CLNUVGPNFX%2Bc%2BxMn4ks%2BazE%2B68CEw78EWK4zmw7nTvJKsN0C%2Bzx1hlmDkbzU2UOZ3PSB%2F8AB3gQ%7Ctkp%3ABFBMyJv369pm" TargetMode="External"/><Relationship Id="rId13" Type="http://schemas.openxmlformats.org/officeDocument/2006/relationships/hyperlink" Target="https://www.ebay.com/itm/357943307653?_skw=M%C3%B3dulo+Allen-Bradley+1756-EN3TRM%C3%B3dulo+Allen-Bradley+1756-EN3TR&amp;itmmeta=01KBBCDG64DDMJ7Z5QYEZ6K5XC&amp;hash=item5357156d85:g:DsMAAeSwgIdpJG2L&amp;itmprp=enc%3AAQAKAAABIFkggFvd1GGDu0w3yXCmi1ePBiQVzGWa66KgnIYjYvx1lO7pz29L6Lox7XiU%2BZaGZNM5WbXqGaA3GYWyPvvZ3QbAoKow%2BFduReo3xYVOyowFdvMCd89Su8FOprVnHCO09Ef0%2FEy%2BKcplwoVXmZX3yWV6uyoKatkUQ5Y4L8LjGuysCbZvgyQvjLS2m%2BrfNKC1Gga4KU3A4VpxoqMeLYdlbQaBTQXBgPQ7gQha8QTxIHhcVC3JqlR9GUwQryGr0jyBHaEliOgbZfTvi4wSh9oJyKIYEOAa%2F%2Bop7ZWdhv8RDveRCWvvAFnPStTzu8753LzlixvPD2W%2Bv17VDFAem6lrjhudwQ5%2FPY9RP6ZoWC5CHnU1RMP3So7xl2r3E6cXdaXl3Q%3D%3D%7Ctkp%3ABFBMoIO27Npm" TargetMode="External"/><Relationship Id="rId3" Type="http://schemas.openxmlformats.org/officeDocument/2006/relationships/hyperlink" Target="https://www.alibaba.com/product-detail/Industry-Chain-Conveyor-Flat-Top-Belt_1601105086502.html?spm=a2700.galleryofferlist.wending_right.i0.1bed13a0Bnuqgn" TargetMode="External"/><Relationship Id="rId7" Type="http://schemas.openxmlformats.org/officeDocument/2006/relationships/hyperlink" Target="https://www.ebay.com/itm/166849424558" TargetMode="External"/><Relationship Id="rId12" Type="http://schemas.openxmlformats.org/officeDocument/2006/relationships/hyperlink" Target="https://www.ebay.com/itm/187288939048?_skw=M%C3%B3dulo+Allen-Bradley+1756-OF16&amp;epid=583845366&amp;itmmeta=01KBBCBYG0N3MYWYV1Z2KVZWBV&amp;hash=item2b9b4a6a28:g:loIAAOSw7ONoQAZP&amp;itmprp=enc%3AAQAKAAABAFkggFvd1GGDu0w3yXCmi1evk8hQknyYpLK8wtZyN8gnCmPTy2tXa4sm%2FW1GvHLGvQwNXfMCfZEhQFwjh6LQdoHu6HP1jerJcGhXFFSY6rRgloCOJdG18A4qds7qQDv0bhvnW%2BFRTvJ%2B4MA6gnQjTg5wkvfBJtYrlTEIHaEuq1slyEZl%2F8tfJ3j03hvjHAMCykQWq61pGdbMvn26xK6dnudb%2BOwKIsTnUhoG2zuI8t%2BBBVudm7AYgtNxfmSpFhx4nTneRDrtOYvemQXShLeesDO39xbYjZMfj%2B0%2B8otzu9o%2BTgt4KYzDpD%2F4JH%2BAM%2BqDEO%2BJABTQea9F%2FF2IMD5HAQc%3D%7Ctkp%3ABFBMmOmv7Npm" TargetMode="External"/><Relationship Id="rId2" Type="http://schemas.openxmlformats.org/officeDocument/2006/relationships/hyperlink" Target="https://www.alibaba.com/product-detail/Sales-Long-Stroke-Gripper-PHL-50_1601453696624.html" TargetMode="External"/><Relationship Id="rId16" Type="http://schemas.openxmlformats.org/officeDocument/2006/relationships/printerSettings" Target="../printerSettings/printerSettings1.bin"/><Relationship Id="rId1" Type="http://schemas.openxmlformats.org/officeDocument/2006/relationships/hyperlink" Target="https://www.alibaba.com/product-detail/ABB-IRB4600-Industrial-Robot-6-Axis_11000000022828.html" TargetMode="External"/><Relationship Id="rId6" Type="http://schemas.openxmlformats.org/officeDocument/2006/relationships/hyperlink" Target="https://www.ebay.com/itm/396333594392" TargetMode="External"/><Relationship Id="rId11" Type="http://schemas.openxmlformats.org/officeDocument/2006/relationships/hyperlink" Target="https://www.ebay.com/itm/357887394926?_skw=M%C3%B3dulo+Allen-Bradley+1756-OB16&amp;itmmeta=01KBBC4Z7RMDTSB3M8WRRGHNYN&amp;hash=item5353c0446e:g:9gsAAeSwUABpEyCq&amp;itmprp=enc%3AAQAKAAABAFkggFvd1GGDu0w3yXCmi1dbmTglChy4sXAucxNEpt7C4yrQDLs7RPyIb8%2F7%2Fx4mQATFeaXavdqydMZuCqFhtecirsSAuggFMDPZk2VGKm3Xaep%2Bg4ypUJGUQtIMGvU5d8HuSJzbpgCplrUL3fFHhxGOc%2FeJ4EBPIHuqlw80gfs62%2FD%2F4Bs4fDo0YQ4FMdkr9jQmGskAxhD%2FBxvmenkTBExrxp09v5oe%2ByKIGEgUsvKhYOcKxosVIotC3TTY9%2FTBS0mwMFGfNtJ3R340tzKL3fhkH3ZdEotTlS%2F0Q8rkfPKWXZ%2BrD506I6EFfay63U0kMxRiHnmXh9oFU2EWCmfMoV8%3D%7Ctkp%3ABFBMlPST7Npm" TargetMode="External"/><Relationship Id="rId5" Type="http://schemas.openxmlformats.org/officeDocument/2006/relationships/hyperlink" Target="https://www.alibaba.com/product-detail/Factory-Sale-Electric-Hydraulic-Tube-Cutting_1601548693622.html?spm=a2700.galleryofferlist.normal_offer.d_image.7ec413a02fIr2k" TargetMode="External"/><Relationship Id="rId15" Type="http://schemas.openxmlformats.org/officeDocument/2006/relationships/hyperlink" Target="https://www.mercadolibre.com.co/breaker-schneider-acti9-ic60n-2x16amperios-montaje-en-riel/up/MCOU2411816421?pdp_filters=item_id%3AMCO1454520471&amp;from=gshop&amp;matt_tool=31402372&amp;matt_word=&amp;matt_source=google&amp;matt_campaign_id=22126928528&amp;matt_ad_group_id=171342854337&amp;matt_match_type=&amp;matt_network=g&amp;matt_device=c&amp;matt_creative=729836838853&amp;matt_keyword=&amp;matt_ad_position=&amp;matt_ad_type=pla&amp;matt_merchant_id=5394935582&amp;matt_product_id=MCOU2411816421&amp;matt_product_partition_id=2389561567610&amp;matt_target_id=aud-2198853242563:pla-2389561567610&amp;cq_src=google_ads&amp;cq_cmp=22126928528&amp;cq_net=g&amp;cq_plt=gp&amp;cq_med=pla&amp;gad_source=4&amp;gad_campaignid=22126928528&amp;gbraid=0AAAAAD1Dcow9BHs08yoExKSzwAoL4or-J&amp;gclid=Cj0KCQjwgpzIBhCOARIsABZm7vFhdTQMa1Sr2tZLCUj1D--oIDS1DS61_8ISRzozPXxbToQ7rGKyjNkaAj_GEALw_wcB" TargetMode="External"/><Relationship Id="rId10" Type="http://schemas.openxmlformats.org/officeDocument/2006/relationships/hyperlink" Target="https://www.ebay.com/itm/236471939535?_skw=M%C3%B3dulo+Allen-Bradley+1756-IF16&amp;itmmeta=01KBBC193ZCEXS3A402MQMGEWT&amp;hash=item370ed371cf:g:nM0AAeSwJYJpHF7j&amp;itmprp=enc%3AAQAKAAABAFkggFvd1GGDu0w3yXCmi1fCAb2oXrMHCHe%2BDv7fggg0zGaWDTFfscARWfEYieMG7lA1Uonf3S1QieZcgbm1J%2Bza0rpa5QIEahzWYNZRkIyZNwbmqPtwWZMlGnGEgNrcoPL%2Fsd6DyESZ4AGnnuv5sL6HaRbwKjF%2B6El3i889RktlAcqPae%2FA%2B2FRQ3BmxJKJ65mkfVX53X5C1ZHQlLESIIYiapbiRqqJVXCI9XbnVhyURgUbrT3mBIq3wPZo%2Bnlh8ADT4mxgLJJdRxkoPpS3p%2FsXlsRHhwNXuYAJk%2Foslc2AGnjOWvWHMipsus%2BiKuYS5XeLheWPsnpCVorLZNe3k94%3D%7Ctkp%3ABFBM_pKF7Npm" TargetMode="External"/><Relationship Id="rId4" Type="http://schemas.openxmlformats.org/officeDocument/2006/relationships/hyperlink" Target="https://www.mercadolibre.com.co/sensor-inductivo-proximidad-lj12a34zbx-npn-dc-636v-4mm/up/MCOU2430856847" TargetMode="External"/><Relationship Id="rId9" Type="http://schemas.openxmlformats.org/officeDocument/2006/relationships/hyperlink" Target="https://www.ebay.com/itm/376411684813?_skw=M%C3%B3dulo+Allen-Bradley+1756-IB16&amp;epid=7031754173&amp;itmmeta=01KBBBZ037A4QH3PX4CJ7AG276&amp;hash=item57a3e27fcd:g:S-cAAeSwEL9oePPa&amp;itmprp=enc%3AAQAKAAABAFkggFvd1GGDu0w3yXCmi1dfkBjyKQJHAaD6eTOGzZBZ7HGoK34Tg5ASpwVTv3NMMNd0MeONyaTNwtp%2Bc3BniYO4VOBhrtxXMbCovjvsfWOum42WteXx7dCdsPeetia8TfWuJCaCoJE1mJFHMlIpC2qxEQv1sgE0PPjdl7KcxStbGrMzu9NN3MFIo6z3ZMcIIgdgWqX0yZZnm8nQhKFm7gzUtcCeq8Rmxe%2FIRl9cPd5dWBISUK3otsshP4qstJvMgPhM%2BpLUKVkUxBuVU%2BriZ4fhD1pUsERWdBM6%2FfKw5p6crPOQc%2B17DYQJyEHe4RGNVF4GRBgTkP%2FPsgwMNxtytK8%3D%7Ctkp%3ABFBMrIP869pm" TargetMode="External"/><Relationship Id="rId14" Type="http://schemas.openxmlformats.org/officeDocument/2006/relationships/hyperlink" Target="https://edemco.co/productos/carpinteria-metalica/gabinetes"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B5CBAE-D0C8-41AE-A8CA-A771B9663965}">
  <dimension ref="A1:J24"/>
  <sheetViews>
    <sheetView topLeftCell="A6" workbookViewId="0">
      <selection activeCell="G3" sqref="G3"/>
    </sheetView>
  </sheetViews>
  <sheetFormatPr baseColWidth="10" defaultColWidth="8.88671875" defaultRowHeight="14.4" x14ac:dyDescent="0.3"/>
  <cols>
    <col min="1" max="1" width="9.44140625" bestFit="1" customWidth="1"/>
    <col min="2" max="2" width="30.6640625" customWidth="1"/>
    <col min="3" max="3" width="41.33203125" bestFit="1" customWidth="1"/>
    <col min="4" max="4" width="8.5546875" bestFit="1" customWidth="1"/>
    <col min="5" max="5" width="18.44140625" bestFit="1" customWidth="1"/>
    <col min="6" max="6" width="18.21875" bestFit="1" customWidth="1"/>
    <col min="7" max="7" width="20.5546875" bestFit="1" customWidth="1"/>
    <col min="8" max="8" width="19.109375" customWidth="1"/>
    <col min="9" max="9" width="15.77734375" bestFit="1" customWidth="1"/>
    <col min="10" max="10" width="82.33203125" bestFit="1" customWidth="1"/>
    <col min="11" max="11" width="82.77734375" bestFit="1" customWidth="1"/>
  </cols>
  <sheetData>
    <row r="1" spans="1:10" x14ac:dyDescent="0.3">
      <c r="A1" s="43" t="s">
        <v>29</v>
      </c>
      <c r="B1" s="43"/>
    </row>
    <row r="2" spans="1:10" x14ac:dyDescent="0.3">
      <c r="A2" s="33" t="s">
        <v>33</v>
      </c>
      <c r="B2" s="36">
        <v>5.0000000000000001E-3</v>
      </c>
    </row>
    <row r="3" spans="1:10" x14ac:dyDescent="0.3">
      <c r="A3" s="33" t="s">
        <v>30</v>
      </c>
      <c r="B3" s="34">
        <v>0.1</v>
      </c>
    </row>
    <row r="4" spans="1:10" ht="15" customHeight="1" x14ac:dyDescent="0.3">
      <c r="A4" s="33" t="s">
        <v>24</v>
      </c>
      <c r="B4" s="34">
        <v>0.19</v>
      </c>
    </row>
    <row r="5" spans="1:10" x14ac:dyDescent="0.3">
      <c r="B5" s="1"/>
      <c r="C5" s="1"/>
      <c r="D5" s="1"/>
      <c r="E5" s="1"/>
      <c r="F5" s="1"/>
    </row>
    <row r="6" spans="1:10" s="24" customFormat="1" x14ac:dyDescent="0.3">
      <c r="A6" s="44" t="s">
        <v>26</v>
      </c>
      <c r="B6" s="44"/>
      <c r="C6" s="44"/>
      <c r="D6" s="44"/>
      <c r="E6" s="44"/>
      <c r="F6" s="44"/>
      <c r="G6" s="44"/>
      <c r="H6" s="44"/>
      <c r="I6" s="44"/>
      <c r="J6" s="44"/>
    </row>
    <row r="7" spans="1:10" s="24" customFormat="1" x14ac:dyDescent="0.3">
      <c r="A7" s="6" t="s">
        <v>21</v>
      </c>
      <c r="B7" s="6" t="s">
        <v>3</v>
      </c>
      <c r="C7" s="6" t="s">
        <v>4</v>
      </c>
      <c r="D7" s="6" t="s">
        <v>22</v>
      </c>
      <c r="E7" s="3" t="s">
        <v>23</v>
      </c>
      <c r="F7" s="3" t="s">
        <v>31</v>
      </c>
      <c r="G7" s="3" t="s">
        <v>32</v>
      </c>
      <c r="H7" s="3" t="s">
        <v>25</v>
      </c>
      <c r="I7" s="3" t="s">
        <v>27</v>
      </c>
      <c r="J7" s="6" t="s">
        <v>28</v>
      </c>
    </row>
    <row r="8" spans="1:10" s="24" customFormat="1" ht="28.8" x14ac:dyDescent="0.3">
      <c r="A8" s="25">
        <v>1</v>
      </c>
      <c r="B8" s="5" t="s">
        <v>35</v>
      </c>
      <c r="C8" s="5" t="s">
        <v>5</v>
      </c>
      <c r="D8" s="5">
        <v>1</v>
      </c>
      <c r="E8" s="31">
        <f>22600*4000</f>
        <v>90400000</v>
      </c>
      <c r="F8" s="31">
        <f>5140*4000</f>
        <v>20560000</v>
      </c>
      <c r="G8" s="31">
        <f>(D8*E8*110%)*$B$2</f>
        <v>497200.00000000006</v>
      </c>
      <c r="H8" s="31">
        <f>(E8+G8+F8)*(1+$B$3)*$B$4</f>
        <v>23294554.800000004</v>
      </c>
      <c r="I8" s="31">
        <f>E8*D8+G8+H8+F8</f>
        <v>134751754.80000001</v>
      </c>
      <c r="J8" s="35" t="s">
        <v>34</v>
      </c>
    </row>
    <row r="9" spans="1:10" s="24" customFormat="1" ht="43.2" x14ac:dyDescent="0.3">
      <c r="A9" s="25">
        <v>2</v>
      </c>
      <c r="B9" s="5" t="s">
        <v>36</v>
      </c>
      <c r="C9" s="5" t="s">
        <v>37</v>
      </c>
      <c r="D9" s="5">
        <v>1</v>
      </c>
      <c r="E9" s="31">
        <f>4000*4000</f>
        <v>16000000</v>
      </c>
      <c r="F9" s="31">
        <f>187*4000</f>
        <v>748000</v>
      </c>
      <c r="G9" s="31">
        <f>(D9*E9*110%)*$B$2</f>
        <v>88000</v>
      </c>
      <c r="H9" s="31">
        <f>(E9+G9+F9)*(1+$B$3)*$B$4</f>
        <v>3518724</v>
      </c>
      <c r="I9" s="31">
        <f>E9*D9+G9+H9+F9</f>
        <v>20354724</v>
      </c>
      <c r="J9" s="35" t="s">
        <v>38</v>
      </c>
    </row>
    <row r="10" spans="1:10" s="24" customFormat="1" ht="57.6" x14ac:dyDescent="0.3">
      <c r="A10" s="25">
        <v>3</v>
      </c>
      <c r="B10" s="5" t="s">
        <v>39</v>
      </c>
      <c r="C10" s="5" t="s">
        <v>40</v>
      </c>
      <c r="D10" s="5">
        <v>2</v>
      </c>
      <c r="E10" s="31">
        <f>650*4000</f>
        <v>2600000</v>
      </c>
      <c r="F10" s="31">
        <f>2300*4000</f>
        <v>9200000</v>
      </c>
      <c r="G10" s="31">
        <f>(D10*E10*110%)*$B$2</f>
        <v>28600</v>
      </c>
      <c r="H10" s="31">
        <f>(E10+G10+F10)*(1+$B$3)*$B$4</f>
        <v>2472177.4000000004</v>
      </c>
      <c r="I10" s="31">
        <f>E10*D10+F10+H10</f>
        <v>16872177.399999999</v>
      </c>
      <c r="J10" s="35" t="s">
        <v>41</v>
      </c>
    </row>
    <row r="11" spans="1:10" s="24" customFormat="1" x14ac:dyDescent="0.3">
      <c r="A11" s="21">
        <v>4</v>
      </c>
      <c r="B11" s="25" t="s">
        <v>43</v>
      </c>
      <c r="C11" s="21" t="s">
        <v>42</v>
      </c>
      <c r="D11" s="21">
        <v>1</v>
      </c>
      <c r="E11" s="31">
        <f>8475*4000</f>
        <v>33900000</v>
      </c>
      <c r="F11" s="31">
        <v>0</v>
      </c>
      <c r="G11" s="31">
        <v>0</v>
      </c>
      <c r="H11" s="31">
        <f t="shared" ref="H11:H20" si="0">(E11+G11+F11)*(1+$B$3)*$B$4</f>
        <v>7085100</v>
      </c>
      <c r="I11" s="31">
        <f>E11*D11+F11+H11</f>
        <v>40985100</v>
      </c>
      <c r="J11" s="28" t="s">
        <v>70</v>
      </c>
    </row>
    <row r="12" spans="1:10" s="24" customFormat="1" ht="28.8" x14ac:dyDescent="0.3">
      <c r="A12" s="25">
        <v>5</v>
      </c>
      <c r="B12" s="25" t="s">
        <v>44</v>
      </c>
      <c r="C12" s="29" t="s">
        <v>47</v>
      </c>
      <c r="D12" s="21">
        <v>1</v>
      </c>
      <c r="E12" s="31">
        <f>435*4000</f>
        <v>1740000</v>
      </c>
      <c r="F12" s="31">
        <v>0</v>
      </c>
      <c r="G12" s="31">
        <v>0</v>
      </c>
      <c r="H12" s="31">
        <f t="shared" si="0"/>
        <v>363660.00000000006</v>
      </c>
      <c r="I12" s="31">
        <f t="shared" ref="I12:I18" si="1">E12*D12+F12+H12</f>
        <v>2103660</v>
      </c>
      <c r="J12" s="28" t="s">
        <v>72</v>
      </c>
    </row>
    <row r="13" spans="1:10" s="24" customFormat="1" ht="28.8" x14ac:dyDescent="0.3">
      <c r="A13" s="25">
        <v>6</v>
      </c>
      <c r="B13" s="25" t="s">
        <v>45</v>
      </c>
      <c r="C13" s="29" t="s">
        <v>46</v>
      </c>
      <c r="D13" s="21">
        <v>1</v>
      </c>
      <c r="E13" s="31">
        <f>381*4000</f>
        <v>1524000</v>
      </c>
      <c r="F13" s="31">
        <v>0</v>
      </c>
      <c r="G13" s="31">
        <v>0</v>
      </c>
      <c r="H13" s="31">
        <f>(E13+G13+F13)*(1+$B$3)*$B$4</f>
        <v>318516.00000000006</v>
      </c>
      <c r="I13" s="31">
        <f>E13*D13+F13+H13</f>
        <v>1842516</v>
      </c>
      <c r="J13" s="28" t="s">
        <v>72</v>
      </c>
    </row>
    <row r="14" spans="1:10" s="24" customFormat="1" ht="28.8" x14ac:dyDescent="0.3">
      <c r="A14" s="25">
        <v>7</v>
      </c>
      <c r="B14" s="25" t="s">
        <v>56</v>
      </c>
      <c r="C14" s="29" t="s">
        <v>49</v>
      </c>
      <c r="D14" s="21">
        <v>1</v>
      </c>
      <c r="E14" s="31">
        <f>298*4000</f>
        <v>1192000</v>
      </c>
      <c r="F14" s="31">
        <v>0</v>
      </c>
      <c r="G14" s="31">
        <v>0</v>
      </c>
      <c r="H14" s="31">
        <f>(E14+G14+F14)*(1+$B$3)*$B$4</f>
        <v>249128</v>
      </c>
      <c r="I14" s="31">
        <f>E14*D14+F14+H14</f>
        <v>1441128</v>
      </c>
      <c r="J14" s="28" t="s">
        <v>73</v>
      </c>
    </row>
    <row r="15" spans="1:10" s="24" customFormat="1" ht="28.8" x14ac:dyDescent="0.3">
      <c r="A15" s="21">
        <v>8</v>
      </c>
      <c r="B15" s="25" t="s">
        <v>55</v>
      </c>
      <c r="C15" s="29" t="s">
        <v>48</v>
      </c>
      <c r="D15" s="21">
        <v>1</v>
      </c>
      <c r="E15" s="31">
        <f>435*4000</f>
        <v>1740000</v>
      </c>
      <c r="F15" s="31">
        <v>0</v>
      </c>
      <c r="G15" s="31">
        <v>0</v>
      </c>
      <c r="H15" s="31">
        <f t="shared" si="0"/>
        <v>363660.00000000006</v>
      </c>
      <c r="I15" s="31">
        <f t="shared" si="1"/>
        <v>2103660</v>
      </c>
      <c r="J15" s="28" t="s">
        <v>74</v>
      </c>
    </row>
    <row r="16" spans="1:10" s="24" customFormat="1" x14ac:dyDescent="0.3">
      <c r="A16" s="25">
        <v>9</v>
      </c>
      <c r="B16" s="25" t="s">
        <v>54</v>
      </c>
      <c r="C16" s="5" t="s">
        <v>71</v>
      </c>
      <c r="D16" s="21">
        <v>1</v>
      </c>
      <c r="E16" s="31">
        <f>379*4000</f>
        <v>1516000</v>
      </c>
      <c r="F16" s="31">
        <v>0</v>
      </c>
      <c r="G16" s="31">
        <v>0</v>
      </c>
      <c r="H16" s="31">
        <f t="shared" si="0"/>
        <v>316844.00000000006</v>
      </c>
      <c r="I16" s="31">
        <f t="shared" si="1"/>
        <v>1832844</v>
      </c>
      <c r="J16" s="28" t="s">
        <v>75</v>
      </c>
    </row>
    <row r="17" spans="1:10" s="24" customFormat="1" ht="28.8" x14ac:dyDescent="0.3">
      <c r="A17" s="25">
        <v>10</v>
      </c>
      <c r="B17" s="25" t="s">
        <v>53</v>
      </c>
      <c r="C17" s="29" t="s">
        <v>50</v>
      </c>
      <c r="D17" s="21">
        <v>1</v>
      </c>
      <c r="E17" s="31">
        <f>223*4000</f>
        <v>892000</v>
      </c>
      <c r="F17" s="31">
        <v>0</v>
      </c>
      <c r="G17" s="31">
        <v>0</v>
      </c>
      <c r="H17" s="31">
        <f t="shared" si="0"/>
        <v>186428.00000000003</v>
      </c>
      <c r="I17" s="31">
        <f t="shared" si="1"/>
        <v>1078428</v>
      </c>
      <c r="J17" s="28" t="s">
        <v>76</v>
      </c>
    </row>
    <row r="18" spans="1:10" s="24" customFormat="1" x14ac:dyDescent="0.3">
      <c r="A18" s="25">
        <v>11</v>
      </c>
      <c r="B18" s="25" t="s">
        <v>51</v>
      </c>
      <c r="C18" s="29" t="s">
        <v>52</v>
      </c>
      <c r="D18" s="21">
        <v>1</v>
      </c>
      <c r="E18" s="31">
        <f>1112*4000</f>
        <v>4448000</v>
      </c>
      <c r="F18" s="31">
        <v>0</v>
      </c>
      <c r="G18" s="31">
        <v>0</v>
      </c>
      <c r="H18" s="31">
        <f t="shared" si="0"/>
        <v>929632</v>
      </c>
      <c r="I18" s="31">
        <f t="shared" si="1"/>
        <v>5377632</v>
      </c>
      <c r="J18" s="30" t="s">
        <v>77</v>
      </c>
    </row>
    <row r="19" spans="1:10" s="24" customFormat="1" x14ac:dyDescent="0.3">
      <c r="A19" s="37">
        <v>12</v>
      </c>
      <c r="B19" s="25" t="s">
        <v>57</v>
      </c>
      <c r="C19" s="29" t="s">
        <v>58</v>
      </c>
      <c r="D19" s="23">
        <v>4</v>
      </c>
      <c r="E19" s="31">
        <v>21990</v>
      </c>
      <c r="F19" s="31">
        <v>0</v>
      </c>
      <c r="G19" s="31">
        <v>0</v>
      </c>
      <c r="H19" s="31">
        <f t="shared" si="0"/>
        <v>4595.9100000000008</v>
      </c>
      <c r="I19" s="31">
        <f>E19*D19+F19+H19</f>
        <v>92555.91</v>
      </c>
      <c r="J19" s="28" t="s">
        <v>59</v>
      </c>
    </row>
    <row r="20" spans="1:10" s="24" customFormat="1" ht="100.8" x14ac:dyDescent="0.3">
      <c r="A20" s="25">
        <v>13</v>
      </c>
      <c r="B20" s="25" t="s">
        <v>61</v>
      </c>
      <c r="C20" s="5" t="s">
        <v>60</v>
      </c>
      <c r="D20" s="25">
        <v>1</v>
      </c>
      <c r="E20" s="31">
        <f>500*4000</f>
        <v>2000000</v>
      </c>
      <c r="F20" s="31">
        <f>3000*4000</f>
        <v>12000000</v>
      </c>
      <c r="G20" s="31">
        <f>(D20*E20*110%)*$B$2</f>
        <v>11000</v>
      </c>
      <c r="H20" s="31">
        <f t="shared" si="0"/>
        <v>2928299.0000000005</v>
      </c>
      <c r="I20" s="31">
        <f t="shared" ref="I20:I23" si="2">E20*D20+F20+H20</f>
        <v>16928299</v>
      </c>
      <c r="J20" s="35" t="s">
        <v>62</v>
      </c>
    </row>
    <row r="21" spans="1:10" s="24" customFormat="1" x14ac:dyDescent="0.3">
      <c r="A21" s="37">
        <v>14</v>
      </c>
      <c r="B21" s="37" t="s">
        <v>86</v>
      </c>
      <c r="C21" s="4" t="s">
        <v>87</v>
      </c>
      <c r="D21" s="37">
        <v>1</v>
      </c>
      <c r="E21" s="32">
        <v>625806</v>
      </c>
      <c r="F21" s="32">
        <v>0</v>
      </c>
      <c r="G21" s="32">
        <v>0</v>
      </c>
      <c r="H21" s="31">
        <v>0</v>
      </c>
      <c r="I21" s="31">
        <f t="shared" si="2"/>
        <v>625806</v>
      </c>
      <c r="J21" s="30" t="s">
        <v>88</v>
      </c>
    </row>
    <row r="22" spans="1:10" s="24" customFormat="1" x14ac:dyDescent="0.3">
      <c r="A22" s="37">
        <v>15</v>
      </c>
      <c r="B22" s="37" t="s">
        <v>89</v>
      </c>
      <c r="C22" s="21" t="s">
        <v>90</v>
      </c>
      <c r="D22" s="37">
        <v>1</v>
      </c>
      <c r="E22" s="22">
        <v>110000</v>
      </c>
      <c r="F22" s="32">
        <v>0</v>
      </c>
      <c r="G22" s="32">
        <v>0</v>
      </c>
      <c r="H22" s="31">
        <v>0</v>
      </c>
      <c r="I22" s="31">
        <f t="shared" si="2"/>
        <v>110000</v>
      </c>
      <c r="J22" s="30" t="s">
        <v>91</v>
      </c>
    </row>
    <row r="23" spans="1:10" s="24" customFormat="1" x14ac:dyDescent="0.3">
      <c r="A23" s="37">
        <v>16</v>
      </c>
      <c r="B23" s="37" t="s">
        <v>92</v>
      </c>
      <c r="C23" s="4" t="s">
        <v>93</v>
      </c>
      <c r="D23" s="37">
        <v>1</v>
      </c>
      <c r="E23" s="32">
        <v>5000000</v>
      </c>
      <c r="F23" s="32">
        <v>0</v>
      </c>
      <c r="G23" s="32">
        <v>0</v>
      </c>
      <c r="H23" s="32">
        <v>0</v>
      </c>
      <c r="I23" s="31">
        <f t="shared" si="2"/>
        <v>5000000</v>
      </c>
      <c r="J23" s="35"/>
    </row>
    <row r="24" spans="1:10" ht="21" customHeight="1" x14ac:dyDescent="0.3">
      <c r="A24" s="45" t="s">
        <v>15</v>
      </c>
      <c r="B24" s="45"/>
      <c r="C24" s="45"/>
      <c r="D24" s="45"/>
      <c r="E24" s="45"/>
      <c r="F24" s="45"/>
      <c r="G24" s="45"/>
      <c r="H24" s="45"/>
      <c r="I24" s="27">
        <f>SUM(I8:I23)</f>
        <v>251500285.11000001</v>
      </c>
      <c r="J24" s="7"/>
    </row>
  </sheetData>
  <mergeCells count="3">
    <mergeCell ref="A1:B1"/>
    <mergeCell ref="A6:J6"/>
    <mergeCell ref="A24:H24"/>
  </mergeCells>
  <hyperlinks>
    <hyperlink ref="J8" r:id="rId1" display="https://www.alibaba.com/product-detail/ABB-IRB4600-Industrial-Robot-6-Axis_11000000022828.html" xr:uid="{4D4E613E-DCCB-4960-8405-A71F072263DE}"/>
    <hyperlink ref="J9" r:id="rId2" display="https://www.alibaba.com/product-detail/Sales-Long-Stroke-Gripper-PHL-50_1601453696624.html" xr:uid="{435F4C62-7674-46FD-818E-9FC51D1CBAEE}"/>
    <hyperlink ref="J10" r:id="rId3" display="https://www.alibaba.com/product-detail/Industry-Chain-Conveyor-Flat-Top-Belt_1601105086502.html?spm=a2700.galleryofferlist.wending_right.i0.1bed13a0Bnuqgn" xr:uid="{993A5C52-68DF-44DE-9AE9-ADDB38D93029}"/>
    <hyperlink ref="J19" r:id="rId4" display="https://www.mercadolibre.com.co/sensor-inductivo-proximidad-lj12a34zbx-npn-dc-636v-4mm/up/MCOU2430856847" xr:uid="{B6F955B6-6C0B-4AD3-BA0A-55BB08D47AB4}"/>
    <hyperlink ref="J20" r:id="rId5" display="https://www.alibaba.com/product-detail/Factory-Sale-Electric-Hydraulic-Tube-Cutting_1601548693622.html?spm=a2700.galleryofferlist.normal_offer.d_image.7ec413a02fIr2k" xr:uid="{CB0D2A07-3AF5-4EE6-A667-AB8C6D67A46F}"/>
    <hyperlink ref="J11" r:id="rId6" display="https://www.ebay.com/itm/396333594392" xr:uid="{7ABE7AB8-784E-4ADB-907B-7159069F76CE}"/>
    <hyperlink ref="J12" r:id="rId7" display="https://www.ebay.com/itm/166849424558" xr:uid="{C5A09119-0960-40C2-8C0A-215D1348A969}"/>
    <hyperlink ref="J13" r:id="rId8" display="https://www.ebay.com/itm/127492532843?epid=21056666403&amp;itmmeta=01KBBBXSPSHMZ2N50FP5E0KMM8&amp;hash=item1daf25aa6b:g:jp0AAeSwagNpFvSz&amp;itmprp=enc%3AAQAKAAAA4NHOg0D50eDiCdi%2FfP0r02uyMcvEoandBWrmWdHsv1OPG%2BJ8PcKzPGSHBygVLxV4QnzS5ZnowIpAUmkQ%2BMl8tCLyxIBcWQOqIvHMv8derPSqhd71p%2Bg5zzopWhLXh62CGrt6P6vMJhaW8gftpFg12HgNAqZcjP8WEjVnpxwZnTjnOw69p2apNUjcfCTWLKky27J%2BmcV0bt2dDqNo7cfM95OwTtxMolN61CLNUVGPNFX%2Bc%2BxMn4ks%2BazE%2B68CEw78EWK4zmw7nTvJKsN0C%2Bzx1hlmDkbzU2UOZ3PSB%2F8AB3gQ%7Ctkp%3ABFBMyJv369pm" xr:uid="{752C5C5E-6D5C-4FB8-95B3-FB6396422737}"/>
    <hyperlink ref="J14" r:id="rId9" display="https://www.ebay.com/itm/376411684813?_skw=M%C3%B3dulo+Allen-Bradley+1756-IB16&amp;epid=7031754173&amp;itmmeta=01KBBBZ037A4QH3PX4CJ7AG276&amp;hash=item57a3e27fcd:g:S-cAAeSwEL9oePPa&amp;itmprp=enc%3AAQAKAAABAFkggFvd1GGDu0w3yXCmi1dfkBjyKQJHAaD6eTOGzZBZ7HGoK34Tg5ASpwVTv3NMMNd0MeONyaTNwtp%2Bc3BniYO4VOBhrtxXMbCovjvsfWOum42WteXx7dCdsPeetia8TfWuJCaCoJE1mJFHMlIpC2qxEQv1sgE0PPjdl7KcxStbGrMzu9NN3MFIo6z3ZMcIIgdgWqX0yZZnm8nQhKFm7gzUtcCeq8Rmxe%2FIRl9cPd5dWBISUK3otsshP4qstJvMgPhM%2BpLUKVkUxBuVU%2BriZ4fhD1pUsERWdBM6%2FfKw5p6crPOQc%2B17DYQJyEHe4RGNVF4GRBgTkP%2FPsgwMNxtytK8%3D%7Ctkp%3ABFBMrIP869pm" xr:uid="{E9D1F424-739A-4596-8128-551AD742941E}"/>
    <hyperlink ref="J15" r:id="rId10" display="https://www.ebay.com/itm/236471939535?_skw=M%C3%B3dulo+Allen-Bradley+1756-IF16&amp;itmmeta=01KBBC193ZCEXS3A402MQMGEWT&amp;hash=item370ed371cf:g:nM0AAeSwJYJpHF7j&amp;itmprp=enc%3AAQAKAAABAFkggFvd1GGDu0w3yXCmi1fCAb2oXrMHCHe%2BDv7fggg0zGaWDTFfscARWfEYieMG7lA1Uonf3S1QieZcgbm1J%2Bza0rpa5QIEahzWYNZRkIyZNwbmqPtwWZMlGnGEgNrcoPL%2Fsd6DyESZ4AGnnuv5sL6HaRbwKjF%2B6El3i889RktlAcqPae%2FA%2B2FRQ3BmxJKJ65mkfVX53X5C1ZHQlLESIIYiapbiRqqJVXCI9XbnVhyURgUbrT3mBIq3wPZo%2Bnlh8ADT4mxgLJJdRxkoPpS3p%2FsXlsRHhwNXuYAJk%2Foslc2AGnjOWvWHMipsus%2BiKuYS5XeLheWPsnpCVorLZNe3k94%3D%7Ctkp%3ABFBM_pKF7Npm" xr:uid="{B29DB598-7DE4-417B-A9B7-931B478DA0D7}"/>
    <hyperlink ref="J16" r:id="rId11" display="https://www.ebay.com/itm/357887394926?_skw=M%C3%B3dulo+Allen-Bradley+1756-OB16&amp;itmmeta=01KBBC4Z7RMDTSB3M8WRRGHNYN&amp;hash=item5353c0446e:g:9gsAAeSwUABpEyCq&amp;itmprp=enc%3AAQAKAAABAFkggFvd1GGDu0w3yXCmi1dbmTglChy4sXAucxNEpt7C4yrQDLs7RPyIb8%2F7%2Fx4mQATFeaXavdqydMZuCqFhtecirsSAuggFMDPZk2VGKm3Xaep%2Bg4ypUJGUQtIMGvU5d8HuSJzbpgCplrUL3fFHhxGOc%2FeJ4EBPIHuqlw80gfs62%2FD%2F4Bs4fDo0YQ4FMdkr9jQmGskAxhD%2FBxvmenkTBExrxp09v5oe%2ByKIGEgUsvKhYOcKxosVIotC3TTY9%2FTBS0mwMFGfNtJ3R340tzKL3fhkH3ZdEotTlS%2F0Q8rkfPKWXZ%2BrD506I6EFfay63U0kMxRiHnmXh9oFU2EWCmfMoV8%3D%7Ctkp%3ABFBMlPST7Npm" xr:uid="{2D8953CD-819A-4190-A680-92984C643B54}"/>
    <hyperlink ref="J17" r:id="rId12" display="https://www.ebay.com/itm/187288939048?_skw=M%C3%B3dulo+Allen-Bradley+1756-OF16&amp;epid=583845366&amp;itmmeta=01KBBCBYG0N3MYWYV1Z2KVZWBV&amp;hash=item2b9b4a6a28:g:loIAAOSw7ONoQAZP&amp;itmprp=enc%3AAQAKAAABAFkggFvd1GGDu0w3yXCmi1evk8hQknyYpLK8wtZyN8gnCmPTy2tXa4sm%2FW1GvHLGvQwNXfMCfZEhQFwjh6LQdoHu6HP1jerJcGhXFFSY6rRgloCOJdG18A4qds7qQDv0bhvnW%2BFRTvJ%2B4MA6gnQjTg5wkvfBJtYrlTEIHaEuq1slyEZl%2F8tfJ3j03hvjHAMCykQWq61pGdbMvn26xK6dnudb%2BOwKIsTnUhoG2zuI8t%2BBBVudm7AYgtNxfmSpFhx4nTneRDrtOYvemQXShLeesDO39xbYjZMfj%2B0%2B8otzu9o%2BTgt4KYzDpD%2F4JH%2BAM%2BqDEO%2BJABTQea9F%2FF2IMD5HAQc%3D%7Ctkp%3ABFBMmOmv7Npm" xr:uid="{66F0E71F-CC25-454B-B307-D409F610B227}"/>
    <hyperlink ref="J18" r:id="rId13" display="https://www.ebay.com/itm/357943307653?_skw=M%C3%B3dulo+Allen-Bradley+1756-EN3TRM%C3%B3dulo+Allen-Bradley+1756-EN3TR&amp;itmmeta=01KBBCDG64DDMJ7Z5QYEZ6K5XC&amp;hash=item5357156d85:g:DsMAAeSwgIdpJG2L&amp;itmprp=enc%3AAQAKAAABIFkggFvd1GGDu0w3yXCmi1ePBiQVzGWa66KgnIYjYvx1lO7pz29L6Lox7XiU%2BZaGZNM5WbXqGaA3GYWyPvvZ3QbAoKow%2BFduReo3xYVOyowFdvMCd89Su8FOprVnHCO09Ef0%2FEy%2BKcplwoVXmZX3yWV6uyoKatkUQ5Y4L8LjGuysCbZvgyQvjLS2m%2BrfNKC1Gga4KU3A4VpxoqMeLYdlbQaBTQXBgPQ7gQha8QTxIHhcVC3JqlR9GUwQryGr0jyBHaEliOgbZfTvi4wSh9oJyKIYEOAa%2F%2Bop7ZWdhv8RDveRCWvvAFnPStTzu8753LzlixvPD2W%2Bv17VDFAem6lrjhudwQ5%2FPY9RP6ZoWC5CHnU1RMP3So7xl2r3E6cXdaXl3Q%3D%3D%7Ctkp%3ABFBMoIO27Npm" xr:uid="{E7AA5AAE-1053-475F-868C-0875C6DAEE07}"/>
    <hyperlink ref="J21" r:id="rId14" display="https://edemco.co/productos/carpinteria-metalica/gabinetes" xr:uid="{ECD3EAAB-FB70-48C4-AD7D-42AEAB4540ED}"/>
    <hyperlink ref="J22" r:id="rId15" display="https://www.mercadolibre.com.co/breaker-schneider-acti9-ic60n-2x16amperios-montaje-en-riel/up/MCOU2411816421?pdp_filters=item_id%3AMCO1454520471&amp;from=gshop&amp;matt_tool=31402372&amp;matt_word=&amp;matt_source=google&amp;matt_campaign_id=22126928528&amp;matt_ad_group_id=171342854337&amp;matt_match_type=&amp;matt_network=g&amp;matt_device=c&amp;matt_creative=729836838853&amp;matt_keyword=&amp;matt_ad_position=&amp;matt_ad_type=pla&amp;matt_merchant_id=5394935582&amp;matt_product_id=MCOU2411816421&amp;matt_product_partition_id=2389561567610&amp;matt_target_id=aud-2198853242563:pla-2389561567610&amp;cq_src=google_ads&amp;cq_cmp=22126928528&amp;cq_net=g&amp;cq_plt=gp&amp;cq_med=pla&amp;gad_source=4&amp;gad_campaignid=22126928528&amp;gbraid=0AAAAAD1Dcow9BHs08yoExKSzwAoL4or-J&amp;gclid=Cj0KCQjwgpzIBhCOARIsABZm7vFhdTQMa1Sr2tZLCUj1D--oIDS1DS61_8ISRzozPXxbToQ7rGKyjNkaAj_GEALw_wcB" xr:uid="{16BD8DBA-5847-45AF-86FA-A3B8B1FF881A}"/>
  </hyperlinks>
  <pageMargins left="0.7" right="0.7" top="0.75" bottom="0.75" header="0.3" footer="0.3"/>
  <pageSetup orientation="portrait" horizontalDpi="0" verticalDpi="0" r:id="rId16"/>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3D9B4A-FA9A-457B-85DB-E77C62BD6A21}">
  <dimension ref="B2:G16"/>
  <sheetViews>
    <sheetView workbookViewId="0">
      <selection activeCell="F2" sqref="F2:G11"/>
    </sheetView>
  </sheetViews>
  <sheetFormatPr baseColWidth="10" defaultColWidth="8.88671875" defaultRowHeight="14.4" x14ac:dyDescent="0.3"/>
  <cols>
    <col min="2" max="2" width="44.33203125" bestFit="1" customWidth="1"/>
    <col min="3" max="3" width="19.44140625" bestFit="1" customWidth="1"/>
    <col min="6" max="6" width="28.109375" bestFit="1" customWidth="1"/>
    <col min="7" max="7" width="19.44140625" bestFit="1" customWidth="1"/>
  </cols>
  <sheetData>
    <row r="2" spans="2:7" ht="15" thickBot="1" x14ac:dyDescent="0.35">
      <c r="B2" s="46" t="s">
        <v>63</v>
      </c>
      <c r="C2" s="47"/>
      <c r="F2" s="48" t="s">
        <v>64</v>
      </c>
      <c r="G2" s="49"/>
    </row>
    <row r="3" spans="2:7" ht="15.6" thickTop="1" thickBot="1" x14ac:dyDescent="0.35">
      <c r="B3" s="8" t="s">
        <v>3</v>
      </c>
      <c r="C3" s="20" t="s">
        <v>65</v>
      </c>
      <c r="F3" s="6" t="s">
        <v>3</v>
      </c>
      <c r="G3" s="3" t="s">
        <v>65</v>
      </c>
    </row>
    <row r="4" spans="2:7" ht="15" thickTop="1" x14ac:dyDescent="0.3">
      <c r="B4" s="4" t="s">
        <v>8</v>
      </c>
      <c r="C4" s="38">
        <v>15000000</v>
      </c>
      <c r="F4" s="25" t="s">
        <v>78</v>
      </c>
      <c r="G4" s="31">
        <f>'Presupuesto de adquisiciones'!I24</f>
        <v>251500285.11000001</v>
      </c>
    </row>
    <row r="5" spans="2:7" x14ac:dyDescent="0.3">
      <c r="B5" s="5" t="s">
        <v>9</v>
      </c>
      <c r="C5" s="38">
        <v>10000000</v>
      </c>
      <c r="F5" s="21" t="s">
        <v>80</v>
      </c>
      <c r="G5" s="31">
        <f>5*20*4000000/22</f>
        <v>18181818.181818184</v>
      </c>
    </row>
    <row r="6" spans="2:7" x14ac:dyDescent="0.3">
      <c r="B6" s="5" t="s">
        <v>84</v>
      </c>
      <c r="C6" s="38">
        <f>3.38*365*4000</f>
        <v>4934800</v>
      </c>
      <c r="F6" s="5" t="s">
        <v>6</v>
      </c>
      <c r="G6" s="31">
        <f>8*1400000*91/22</f>
        <v>46327272.727272727</v>
      </c>
    </row>
    <row r="7" spans="2:7" x14ac:dyDescent="0.3">
      <c r="B7" s="5" t="s">
        <v>83</v>
      </c>
      <c r="C7" s="39">
        <f>392*12*4000</f>
        <v>18816000</v>
      </c>
      <c r="F7" s="5" t="s">
        <v>81</v>
      </c>
      <c r="G7" s="31">
        <f>8*1400000*23/22</f>
        <v>11709090.909090908</v>
      </c>
    </row>
    <row r="8" spans="2:7" x14ac:dyDescent="0.3">
      <c r="B8" s="5" t="s">
        <v>85</v>
      </c>
      <c r="C8" s="39">
        <f>238*12*4000</f>
        <v>11424000</v>
      </c>
      <c r="F8" s="21" t="s">
        <v>82</v>
      </c>
      <c r="G8" s="31">
        <f>5*6000000*18/22</f>
        <v>24545454.545454547</v>
      </c>
    </row>
    <row r="9" spans="2:7" x14ac:dyDescent="0.3">
      <c r="B9" s="3" t="s">
        <v>13</v>
      </c>
      <c r="C9" s="26">
        <f>SUM(C4:C8)</f>
        <v>60174800</v>
      </c>
      <c r="F9" s="25" t="s">
        <v>79</v>
      </c>
      <c r="G9" s="31">
        <f>5*4000000*4/22</f>
        <v>3636363.6363636362</v>
      </c>
    </row>
    <row r="10" spans="2:7" x14ac:dyDescent="0.3">
      <c r="F10" s="5" t="s">
        <v>7</v>
      </c>
      <c r="G10" s="31">
        <f>5*1400000*5/22</f>
        <v>1590909.0909090908</v>
      </c>
    </row>
    <row r="11" spans="2:7" ht="15" thickBot="1" x14ac:dyDescent="0.35">
      <c r="B11" s="46" t="s">
        <v>14</v>
      </c>
      <c r="C11" s="47"/>
      <c r="F11" s="3" t="s">
        <v>13</v>
      </c>
      <c r="G11" s="26">
        <f>SUM(G4:G10)</f>
        <v>357491194.20090914</v>
      </c>
    </row>
    <row r="12" spans="2:7" ht="15.6" thickTop="1" thickBot="1" x14ac:dyDescent="0.35">
      <c r="B12" s="8" t="s">
        <v>3</v>
      </c>
      <c r="C12" s="20" t="s">
        <v>65</v>
      </c>
    </row>
    <row r="13" spans="2:7" ht="15" thickTop="1" x14ac:dyDescent="0.3">
      <c r="B13" s="4" t="s">
        <v>10</v>
      </c>
      <c r="C13" s="38">
        <v>60000000</v>
      </c>
    </row>
    <row r="14" spans="2:7" x14ac:dyDescent="0.3">
      <c r="B14" s="5" t="s">
        <v>11</v>
      </c>
      <c r="C14" s="38">
        <v>20000000</v>
      </c>
    </row>
    <row r="15" spans="2:7" x14ac:dyDescent="0.3">
      <c r="B15" s="5" t="s">
        <v>12</v>
      </c>
      <c r="C15" s="38">
        <v>20000000</v>
      </c>
    </row>
    <row r="16" spans="2:7" ht="21" customHeight="1" x14ac:dyDescent="0.3">
      <c r="B16" s="3" t="s">
        <v>13</v>
      </c>
      <c r="C16" s="26">
        <f>SUM(C13:C15)</f>
        <v>100000000</v>
      </c>
    </row>
  </sheetData>
  <mergeCells count="3">
    <mergeCell ref="B2:C2"/>
    <mergeCell ref="B11:C11"/>
    <mergeCell ref="F2:G2"/>
  </mergeCells>
  <pageMargins left="0.7" right="0.7" top="0.75" bottom="0.75" header="0.3" footer="0.3"/>
  <pageSetup orientation="portrait" horizontalDpi="0" verticalDpi="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0B0D5B-0895-44FF-ABA0-57CCBB5D0784}">
  <dimension ref="B2:K19"/>
  <sheetViews>
    <sheetView tabSelected="1" workbookViewId="0">
      <selection activeCell="I8" sqref="H3:I8"/>
    </sheetView>
  </sheetViews>
  <sheetFormatPr baseColWidth="10" defaultColWidth="8.88671875" defaultRowHeight="14.4" x14ac:dyDescent="0.3"/>
  <cols>
    <col min="3" max="5" width="17.21875" bestFit="1" customWidth="1"/>
    <col min="6" max="6" width="16.44140625" customWidth="1"/>
    <col min="8" max="8" width="14.109375" bestFit="1" customWidth="1"/>
    <col min="9" max="9" width="15.109375" bestFit="1" customWidth="1"/>
    <col min="11" max="11" width="9.21875" bestFit="1" customWidth="1"/>
  </cols>
  <sheetData>
    <row r="2" spans="2:11" ht="21" customHeight="1" thickBot="1" x14ac:dyDescent="0.35">
      <c r="B2" s="50" t="s">
        <v>16</v>
      </c>
      <c r="C2" s="50"/>
      <c r="D2" s="50"/>
      <c r="E2" s="50"/>
      <c r="F2" s="50"/>
    </row>
    <row r="3" spans="2:11" ht="30" thickTop="1" thickBot="1" x14ac:dyDescent="0.35">
      <c r="B3" s="9" t="s">
        <v>0</v>
      </c>
      <c r="C3" s="10" t="s">
        <v>66</v>
      </c>
      <c r="D3" s="10" t="s">
        <v>67</v>
      </c>
      <c r="E3" s="10" t="s">
        <v>68</v>
      </c>
      <c r="F3" s="10" t="s">
        <v>69</v>
      </c>
      <c r="H3" s="53" t="s">
        <v>94</v>
      </c>
      <c r="I3" s="54"/>
    </row>
    <row r="4" spans="2:11" ht="15" thickTop="1" x14ac:dyDescent="0.3">
      <c r="B4" s="11">
        <v>0</v>
      </c>
      <c r="C4" s="12">
        <v>0</v>
      </c>
      <c r="D4" s="12">
        <f>-'Costos y Beneficios'!G11</f>
        <v>-357491194.20090914</v>
      </c>
      <c r="E4" s="13">
        <f>SUM(C4:D4)</f>
        <v>-357491194.20090914</v>
      </c>
      <c r="F4" s="12">
        <f>E4</f>
        <v>-357491194.20090914</v>
      </c>
      <c r="H4" s="51" t="s">
        <v>17</v>
      </c>
      <c r="I4" s="52">
        <v>5.0000000000000001E-4</v>
      </c>
      <c r="K4" s="15"/>
    </row>
    <row r="5" spans="2:11" x14ac:dyDescent="0.3">
      <c r="B5" s="2">
        <v>1</v>
      </c>
      <c r="C5" s="13">
        <f>'Costos y Beneficios'!$C$16</f>
        <v>100000000</v>
      </c>
      <c r="D5" s="13">
        <f>-'Costos y Beneficios'!$C$9</f>
        <v>-60174800</v>
      </c>
      <c r="E5" s="13">
        <f>SUM(C5:D5)</f>
        <v>39825200</v>
      </c>
      <c r="F5" s="13">
        <f>F4+E5</f>
        <v>-317665994.20090914</v>
      </c>
      <c r="H5" s="6" t="s">
        <v>1</v>
      </c>
      <c r="I5" s="14">
        <f>NPV(I4,E5:E19)+E4</f>
        <v>237504048.878847</v>
      </c>
      <c r="K5" s="15"/>
    </row>
    <row r="6" spans="2:11" x14ac:dyDescent="0.3">
      <c r="B6" s="2">
        <v>2</v>
      </c>
      <c r="C6" s="13">
        <f>'Costos y Beneficios'!$C$16</f>
        <v>100000000</v>
      </c>
      <c r="D6" s="13">
        <f>-'Costos y Beneficios'!$C$9</f>
        <v>-60174800</v>
      </c>
      <c r="E6" s="13">
        <f t="shared" ref="E6:E11" si="0">SUM(C6:D6)</f>
        <v>39825200</v>
      </c>
      <c r="F6" s="13">
        <f t="shared" ref="F6:F11" si="1">F5+E6</f>
        <v>-277840794.20090914</v>
      </c>
      <c r="H6" s="6" t="s">
        <v>2</v>
      </c>
      <c r="I6" s="18">
        <f>IRR(E4:E13)</f>
        <v>5.2306402542479091E-4</v>
      </c>
      <c r="K6" s="15"/>
    </row>
    <row r="7" spans="2:11" x14ac:dyDescent="0.3">
      <c r="B7" s="2">
        <v>3</v>
      </c>
      <c r="C7" s="13">
        <f>'Costos y Beneficios'!$C$16</f>
        <v>100000000</v>
      </c>
      <c r="D7" s="13">
        <f>-'Costos y Beneficios'!$C$9</f>
        <v>-60174800</v>
      </c>
      <c r="E7" s="13">
        <f t="shared" si="0"/>
        <v>39825200</v>
      </c>
      <c r="F7" s="13">
        <f t="shared" si="1"/>
        <v>-238015594.20090914</v>
      </c>
      <c r="H7" s="6" t="s">
        <v>18</v>
      </c>
      <c r="I7" s="19">
        <f>I5/-E4</f>
        <v>0.66436335420718173</v>
      </c>
      <c r="K7" s="15"/>
    </row>
    <row r="8" spans="2:11" x14ac:dyDescent="0.3">
      <c r="B8" s="2">
        <v>4</v>
      </c>
      <c r="C8" s="13">
        <f>'Costos y Beneficios'!$C$16</f>
        <v>100000000</v>
      </c>
      <c r="D8" s="13">
        <f>-'Costos y Beneficios'!$C$9</f>
        <v>-60174800</v>
      </c>
      <c r="E8" s="13">
        <f t="shared" si="0"/>
        <v>39825200</v>
      </c>
      <c r="F8" s="13">
        <f t="shared" si="1"/>
        <v>-198190394.20090914</v>
      </c>
      <c r="H8" s="6" t="s">
        <v>19</v>
      </c>
      <c r="I8" s="17">
        <f>B12+(ABS(F12)/E12)</f>
        <v>8.9765071914493628</v>
      </c>
      <c r="J8" s="7" t="s">
        <v>20</v>
      </c>
      <c r="K8" s="15"/>
    </row>
    <row r="9" spans="2:11" x14ac:dyDescent="0.3">
      <c r="B9" s="2">
        <v>5</v>
      </c>
      <c r="C9" s="13">
        <f>'Costos y Beneficios'!$C$16</f>
        <v>100000000</v>
      </c>
      <c r="D9" s="13">
        <f>-'Costos y Beneficios'!$C$9</f>
        <v>-60174800</v>
      </c>
      <c r="E9" s="13">
        <f t="shared" si="0"/>
        <v>39825200</v>
      </c>
      <c r="F9" s="13">
        <f t="shared" si="1"/>
        <v>-158365194.20090914</v>
      </c>
      <c r="K9" s="15"/>
    </row>
    <row r="10" spans="2:11" x14ac:dyDescent="0.3">
      <c r="B10" s="2">
        <v>6</v>
      </c>
      <c r="C10" s="13">
        <f>'Costos y Beneficios'!$C$16</f>
        <v>100000000</v>
      </c>
      <c r="D10" s="13">
        <f>-'Costos y Beneficios'!$C$9</f>
        <v>-60174800</v>
      </c>
      <c r="E10" s="13">
        <f t="shared" si="0"/>
        <v>39825200</v>
      </c>
      <c r="F10" s="40">
        <f t="shared" si="1"/>
        <v>-118539994.20090914</v>
      </c>
      <c r="K10" s="15"/>
    </row>
    <row r="11" spans="2:11" x14ac:dyDescent="0.3">
      <c r="B11" s="2">
        <v>7</v>
      </c>
      <c r="C11" s="13">
        <f>'Costos y Beneficios'!$C$16</f>
        <v>100000000</v>
      </c>
      <c r="D11" s="13">
        <f>-'Costos y Beneficios'!$C$9</f>
        <v>-60174800</v>
      </c>
      <c r="E11" s="13">
        <f t="shared" si="0"/>
        <v>39825200</v>
      </c>
      <c r="F11" s="16">
        <f t="shared" si="1"/>
        <v>-78714794.200909138</v>
      </c>
      <c r="K11" s="15"/>
    </row>
    <row r="12" spans="2:11" x14ac:dyDescent="0.3">
      <c r="B12" s="2">
        <v>8</v>
      </c>
      <c r="C12" s="13">
        <f>'Costos y Beneficios'!$C$16</f>
        <v>100000000</v>
      </c>
      <c r="D12" s="13">
        <f>-'Costos y Beneficios'!$C$9</f>
        <v>-60174800</v>
      </c>
      <c r="E12" s="13">
        <f t="shared" ref="E12" si="2">SUM(C12:D12)</f>
        <v>39825200</v>
      </c>
      <c r="F12" s="16">
        <f t="shared" ref="F12" si="3">F11+E12</f>
        <v>-38889594.200909138</v>
      </c>
      <c r="K12" s="15"/>
    </row>
    <row r="13" spans="2:11" x14ac:dyDescent="0.3">
      <c r="B13" s="2">
        <v>9</v>
      </c>
      <c r="C13" s="13">
        <f>'Costos y Beneficios'!$C$16</f>
        <v>100000000</v>
      </c>
      <c r="D13" s="13">
        <f>-'Costos y Beneficios'!$C$9</f>
        <v>-60174800</v>
      </c>
      <c r="E13" s="13">
        <f t="shared" ref="E13" si="4">SUM(C13:D13)</f>
        <v>39825200</v>
      </c>
      <c r="F13" s="41">
        <f t="shared" ref="F13" si="5">F12+E13</f>
        <v>935605.79909086227</v>
      </c>
      <c r="K13" s="15"/>
    </row>
    <row r="14" spans="2:11" x14ac:dyDescent="0.3">
      <c r="B14" s="2">
        <v>10</v>
      </c>
      <c r="C14" s="13">
        <f>'Costos y Beneficios'!$C$16</f>
        <v>100000000</v>
      </c>
      <c r="D14" s="13">
        <f>-'Costos y Beneficios'!$C$9</f>
        <v>-60174800</v>
      </c>
      <c r="E14" s="13">
        <f t="shared" ref="E14:E19" si="6">SUM(C14:D14)</f>
        <v>39825200</v>
      </c>
      <c r="F14" s="42">
        <f t="shared" ref="F14:F19" si="7">F13+E14</f>
        <v>40760805.799090862</v>
      </c>
    </row>
    <row r="15" spans="2:11" x14ac:dyDescent="0.3">
      <c r="B15" s="2">
        <v>11</v>
      </c>
      <c r="C15" s="13">
        <f>'Costos y Beneficios'!$C$16</f>
        <v>100000000</v>
      </c>
      <c r="D15" s="13">
        <f>-'Costos y Beneficios'!$C$9</f>
        <v>-60174800</v>
      </c>
      <c r="E15" s="13">
        <f t="shared" si="6"/>
        <v>39825200</v>
      </c>
      <c r="F15" s="42">
        <f t="shared" si="7"/>
        <v>80586005.799090862</v>
      </c>
      <c r="K15" s="15"/>
    </row>
    <row r="16" spans="2:11" x14ac:dyDescent="0.3">
      <c r="B16" s="2">
        <v>12</v>
      </c>
      <c r="C16" s="13">
        <f>'Costos y Beneficios'!$C$16</f>
        <v>100000000</v>
      </c>
      <c r="D16" s="13">
        <f>-'Costos y Beneficios'!$C$9</f>
        <v>-60174800</v>
      </c>
      <c r="E16" s="13">
        <f t="shared" si="6"/>
        <v>39825200</v>
      </c>
      <c r="F16" s="42">
        <f t="shared" si="7"/>
        <v>120411205.79909086</v>
      </c>
    </row>
    <row r="17" spans="2:6" x14ac:dyDescent="0.3">
      <c r="B17" s="2">
        <v>13</v>
      </c>
      <c r="C17" s="13">
        <f>'Costos y Beneficios'!$C$16</f>
        <v>100000000</v>
      </c>
      <c r="D17" s="13">
        <f>-'Costos y Beneficios'!$C$9</f>
        <v>-60174800</v>
      </c>
      <c r="E17" s="13">
        <f t="shared" si="6"/>
        <v>39825200</v>
      </c>
      <c r="F17" s="42">
        <f t="shared" si="7"/>
        <v>160236405.79909086</v>
      </c>
    </row>
    <row r="18" spans="2:6" x14ac:dyDescent="0.3">
      <c r="B18" s="2">
        <v>14</v>
      </c>
      <c r="C18" s="13">
        <f>'Costos y Beneficios'!$C$16</f>
        <v>100000000</v>
      </c>
      <c r="D18" s="13">
        <f>-'Costos y Beneficios'!$C$9</f>
        <v>-60174800</v>
      </c>
      <c r="E18" s="13">
        <f t="shared" si="6"/>
        <v>39825200</v>
      </c>
      <c r="F18" s="42">
        <f t="shared" si="7"/>
        <v>200061605.79909086</v>
      </c>
    </row>
    <row r="19" spans="2:6" x14ac:dyDescent="0.3">
      <c r="B19" s="2">
        <v>15</v>
      </c>
      <c r="C19" s="13">
        <f>'Costos y Beneficios'!$C$16</f>
        <v>100000000</v>
      </c>
      <c r="D19" s="13">
        <f>-'Costos y Beneficios'!$C$9</f>
        <v>-60174800</v>
      </c>
      <c r="E19" s="13">
        <f t="shared" si="6"/>
        <v>39825200</v>
      </c>
      <c r="F19" s="42">
        <f t="shared" si="7"/>
        <v>239886805.79909086</v>
      </c>
    </row>
  </sheetData>
  <mergeCells count="2">
    <mergeCell ref="B2:F2"/>
    <mergeCell ref="H3:I3"/>
  </mergeCells>
  <pageMargins left="0.7" right="0.7" top="0.75" bottom="0.75" header="0.3" footer="0.3"/>
  <pageSetup orientation="portrait" horizontalDpi="0" verticalDpi="0"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3</vt:i4>
      </vt:variant>
    </vt:vector>
  </HeadingPairs>
  <TitlesOfParts>
    <vt:vector size="3" baseType="lpstr">
      <vt:lpstr>Presupuesto de adquisiciones</vt:lpstr>
      <vt:lpstr>Costos y Beneficios</vt:lpstr>
      <vt:lpstr>Flujo de Caja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Samuel Cruz</cp:lastModifiedBy>
  <dcterms:created xsi:type="dcterms:W3CDTF">2025-10-13T18:38:23Z</dcterms:created>
  <dcterms:modified xsi:type="dcterms:W3CDTF">2025-12-02T04:49:53Z</dcterms:modified>
</cp:coreProperties>
</file>